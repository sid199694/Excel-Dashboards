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9FDE15-6424-431B-8B3C-A6ED4D1AB8C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CA COLA CO" sheetId="1" r:id="rId1"/>
    <sheet name="Dashboard!" sheetId="7" r:id="rId2"/>
    <sheet name="Dashboard Data" sheetId="6" r:id="rId3"/>
    <sheet name="Cash Flow Statement" sheetId="5" r:id="rId4"/>
    <sheet name="Profit &amp; Loss Statement" sheetId="2" r:id="rId5"/>
    <sheet name="Balance Sheet" sheetId="3" r:id="rId6"/>
    <sheet name="Liabilities" sheetId="4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6" l="1"/>
  <c r="M17" i="6"/>
  <c r="M18" i="6"/>
  <c r="M19" i="6"/>
  <c r="M20" i="6"/>
  <c r="M21" i="6"/>
  <c r="M22" i="6"/>
  <c r="M23" i="6"/>
  <c r="M24" i="6"/>
  <c r="M15" i="6"/>
  <c r="L16" i="6"/>
  <c r="L17" i="6"/>
  <c r="L18" i="6"/>
  <c r="L19" i="6"/>
  <c r="L20" i="6"/>
  <c r="L21" i="6"/>
  <c r="L22" i="6"/>
  <c r="L23" i="6"/>
  <c r="L24" i="6"/>
  <c r="L15" i="6"/>
  <c r="D16" i="6"/>
  <c r="D17" i="6"/>
  <c r="D18" i="6"/>
  <c r="D19" i="6"/>
  <c r="D20" i="6"/>
  <c r="D21" i="6"/>
  <c r="D22" i="6"/>
  <c r="D23" i="6"/>
  <c r="D24" i="6"/>
  <c r="D15" i="6"/>
  <c r="I12" i="6"/>
  <c r="J12" i="6"/>
  <c r="H12" i="6"/>
  <c r="I2" i="6"/>
  <c r="J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H2" i="6"/>
  <c r="H3" i="6"/>
  <c r="H4" i="6"/>
  <c r="H5" i="6"/>
  <c r="H6" i="6"/>
  <c r="H7" i="6"/>
  <c r="H8" i="6"/>
  <c r="H9" i="6"/>
  <c r="H10" i="6"/>
  <c r="H11" i="6"/>
  <c r="D11" i="6"/>
  <c r="D10" i="6"/>
  <c r="D9" i="6"/>
  <c r="D8" i="6"/>
  <c r="D7" i="6"/>
  <c r="D6" i="6"/>
  <c r="D5" i="6"/>
  <c r="D4" i="6"/>
  <c r="D3" i="6"/>
  <c r="D2" i="6"/>
  <c r="D12" i="2"/>
  <c r="D11" i="2"/>
  <c r="D10" i="2"/>
  <c r="D9" i="2"/>
  <c r="D8" i="2"/>
  <c r="D7" i="2"/>
  <c r="D6" i="2"/>
  <c r="D5" i="2"/>
  <c r="D4" i="2"/>
  <c r="D3" i="2"/>
  <c r="D7" i="1"/>
  <c r="E7" i="1"/>
  <c r="F7" i="1"/>
  <c r="G7" i="1"/>
  <c r="H7" i="1"/>
  <c r="I7" i="1"/>
  <c r="J7" i="1"/>
  <c r="K7" i="1"/>
  <c r="L7" i="1"/>
  <c r="C7" i="1"/>
</calcChain>
</file>

<file path=xl/sharedStrings.xml><?xml version="1.0" encoding="utf-8"?>
<sst xmlns="http://schemas.openxmlformats.org/spreadsheetml/2006/main" count="362" uniqueCount="141">
  <si>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</si>
  <si>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</si>
  <si>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</si>
  <si>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</si>
  <si>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</si>
  <si>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</si>
  <si>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</si>
  <si>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</si>
  <si>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</si>
  <si>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</si>
  <si>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</si>
  <si>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</si>
  <si>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</si>
  <si>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</si>
  <si>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</si>
  <si>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</si>
  <si>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</si>
  <si>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</si>
  <si>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</si>
  <si>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</si>
  <si>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</si>
  <si>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</si>
  <si>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</si>
  <si>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</si>
  <si>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</si>
  <si>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</si>
  <si>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</si>
  <si>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</si>
  <si>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</si>
  <si>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</si>
  <si>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</si>
  <si>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</si>
  <si>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</si>
  <si>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</si>
  <si>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</si>
  <si>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</si>
  <si>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</si>
  <si>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</si>
  <si>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</si>
  <si>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</si>
  <si>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</si>
  <si>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</si>
  <si>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</si>
  <si>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</si>
  <si>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</si>
  <si>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</si>
  <si>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</si>
  <si>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</si>
  <si>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</si>
  <si>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</si>
  <si>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</si>
  <si>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</si>
  <si>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</si>
  <si>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</si>
  <si>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</si>
  <si>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</si>
  <si>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</si>
  <si>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</si>
  <si>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</si>
  <si>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</si>
  <si>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</si>
  <si>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</si>
  <si>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</si>
  <si>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</si>
  <si>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</si>
  <si>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</si>
  <si>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</si>
  <si>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</si>
  <si>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</si>
  <si>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</si>
  <si>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</si>
  <si>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</si>
  <si>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</si>
  <si>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</si>
  <si>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</si>
  <si>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</si>
  <si>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</si>
  <si>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</si>
  <si>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</si>
  <si>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</si>
  <si>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</si>
  <si>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</si>
  <si>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</si>
  <si>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</si>
  <si>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</si>
  <si>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</si>
  <si>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</si>
  <si>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</si>
  <si>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</si>
  <si>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</si>
  <si>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</si>
  <si>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</si>
  <si>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</si>
  <si>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</si>
  <si>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</si>
  <si>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</si>
  <si>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</si>
  <si>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</si>
  <si>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</si>
  <si>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</si>
  <si>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</si>
  <si>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</si>
  <si>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</si>
  <si>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</si>
  <si>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Column1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</si>
  <si>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</si>
  <si>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</si>
  <si>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</si>
  <si>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</si>
  <si>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</si>
  <si>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</si>
  <si>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</si>
  <si>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</si>
  <si>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</si>
  <si>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</si>
  <si>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Year</t>
  </si>
  <si>
    <t>Revenue</t>
  </si>
  <si>
    <t>COGS</t>
  </si>
  <si>
    <t>SGA</t>
  </si>
  <si>
    <t>Gross Profit.</t>
  </si>
  <si>
    <t>Net Income</t>
  </si>
  <si>
    <t>Gross Margin %</t>
  </si>
  <si>
    <t>Operating Margin %</t>
  </si>
  <si>
    <t>Net Margin %</t>
  </si>
  <si>
    <t>Row Labels</t>
  </si>
  <si>
    <t>Grand Total</t>
  </si>
  <si>
    <t>Sum of Revenue</t>
  </si>
  <si>
    <t>Sum of Gross Profit.</t>
  </si>
  <si>
    <t>Sum of Operating Income</t>
  </si>
  <si>
    <t>Sum of Net Income</t>
  </si>
  <si>
    <t>Sum of Gross Margin</t>
  </si>
  <si>
    <t>Sum of Operating Margin</t>
  </si>
  <si>
    <t>Sum of Net margin</t>
  </si>
  <si>
    <t>Debt To Equity</t>
  </si>
  <si>
    <t>Sum of Long-term debt</t>
  </si>
  <si>
    <t>Sum of Total equity</t>
  </si>
  <si>
    <t>Sum of Debt To Equity</t>
  </si>
  <si>
    <t>FCF</t>
  </si>
  <si>
    <t>CapEx</t>
  </si>
  <si>
    <t>Operation Cash Flow</t>
  </si>
  <si>
    <t>FCF -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</si>
</sst>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09]#,##0.00"/>
  </numFmts>
  <fonts count="16" x14ac:knownFonts="1">
    <font>
      <sz val="11"/>
      <color rgb="FF000000"/>
      <name val="Calibri"/>
    </font>
    <font>
      <b/>
      <sz val="11"/>
      <color rgb="FFFFFFFF"/>
      <name val="Calibri"/>
    </font>
    <font>
      <b/>
      <sz val="9"/>
      <color rgb="FFFFFFFF"/>
      <name val="Arial"/>
    </font>
    <font>
      <b/>
      <sz val="11"/>
      <color rgb="FF000000"/>
      <name val="Calibri"/>
    </font>
    <font>
      <b/>
      <sz val="11"/>
      <color rgb="FFFFFFFF"/>
      <name val="Calibri"/>
      <family val="2"/>
    </font>
    <font>
      <sz val="8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3399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rgb="FF000000"/>
      </top>
      <bottom/>
      <diagonal/>
    </border>
    <border>
      <left/>
      <right style="thin">
        <color theme="6"/>
      </right>
      <top style="thin">
        <color rgb="FF000000"/>
      </top>
      <bottom/>
      <diagonal/>
    </border>
    <border>
      <left style="thin">
        <color theme="6"/>
      </left>
      <right/>
      <top style="thin">
        <color rgb="FF000000"/>
      </top>
      <bottom style="thin">
        <color theme="6"/>
      </bottom>
      <diagonal/>
    </border>
    <border>
      <left/>
      <right/>
      <top style="thin">
        <color rgb="FF000000"/>
      </top>
      <bottom style="thin">
        <color theme="6"/>
      </bottom>
      <diagonal/>
    </border>
    <border>
      <left/>
      <right style="thin">
        <color theme="6"/>
      </right>
      <top style="thin">
        <color rgb="FF000000"/>
      </top>
      <bottom style="thin">
        <color theme="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 style="thin">
        <color theme="0"/>
      </right>
      <top style="thin">
        <color theme="5" tint="0.39997558519241921"/>
      </top>
      <bottom style="thick">
        <color theme="0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5" fontId="0" fillId="2" borderId="0" xfId="0" applyNumberFormat="1" applyFill="1"/>
    <xf numFmtId="165" fontId="3" fillId="2" borderId="1" xfId="0" applyNumberFormat="1" applyFont="1" applyFill="1" applyBorder="1"/>
    <xf numFmtId="164" fontId="4" fillId="3" borderId="0" xfId="0" applyNumberFormat="1" applyFont="1" applyFill="1"/>
    <xf numFmtId="165" fontId="0" fillId="4" borderId="0" xfId="0" applyNumberFormat="1" applyFill="1" applyAlignment="1">
      <alignment horizontal="right" vertical="top" wrapText="1"/>
    </xf>
    <xf numFmtId="165" fontId="0" fillId="4" borderId="0" xfId="0" applyNumberFormat="1" applyFill="1"/>
    <xf numFmtId="165" fontId="0" fillId="5" borderId="0" xfId="0" applyNumberFormat="1" applyFill="1" applyAlignment="1">
      <alignment horizontal="left"/>
    </xf>
    <xf numFmtId="165" fontId="0" fillId="5" borderId="0" xfId="0" applyNumberFormat="1" applyFill="1"/>
    <xf numFmtId="165" fontId="6" fillId="5" borderId="0" xfId="0" applyNumberFormat="1" applyFont="1" applyFill="1"/>
    <xf numFmtId="165" fontId="7" fillId="5" borderId="0" xfId="0" applyNumberFormat="1" applyFont="1" applyFill="1"/>
    <xf numFmtId="165" fontId="9" fillId="2" borderId="3" xfId="0" applyNumberFormat="1" applyFont="1" applyFill="1" applyBorder="1"/>
    <xf numFmtId="165" fontId="10" fillId="2" borderId="1" xfId="0" applyNumberFormat="1" applyFont="1" applyFill="1" applyBorder="1"/>
    <xf numFmtId="165" fontId="9" fillId="2" borderId="4" xfId="0" applyNumberFormat="1" applyFont="1" applyFill="1" applyBorder="1"/>
    <xf numFmtId="165" fontId="10" fillId="2" borderId="6" xfId="0" applyNumberFormat="1" applyFont="1" applyFill="1" applyBorder="1"/>
    <xf numFmtId="165" fontId="7" fillId="5" borderId="3" xfId="0" applyNumberFormat="1" applyFont="1" applyFill="1" applyBorder="1"/>
    <xf numFmtId="165" fontId="7" fillId="5" borderId="4" xfId="0" applyNumberFormat="1" applyFont="1" applyFill="1" applyBorder="1"/>
    <xf numFmtId="165" fontId="8" fillId="2" borderId="3" xfId="0" applyNumberFormat="1" applyFont="1" applyFill="1" applyBorder="1"/>
    <xf numFmtId="165" fontId="8" fillId="2" borderId="4" xfId="0" applyNumberFormat="1" applyFont="1" applyFill="1" applyBorder="1"/>
    <xf numFmtId="165" fontId="11" fillId="2" borderId="1" xfId="0" applyNumberFormat="1" applyFont="1" applyFill="1" applyBorder="1"/>
    <xf numFmtId="165" fontId="11" fillId="2" borderId="6" xfId="0" applyNumberFormat="1" applyFont="1" applyFill="1" applyBorder="1"/>
    <xf numFmtId="165" fontId="7" fillId="5" borderId="2" xfId="0" applyNumberFormat="1" applyFont="1" applyFill="1" applyBorder="1" applyAlignment="1">
      <alignment wrapText="1"/>
    </xf>
    <xf numFmtId="165" fontId="7" fillId="5" borderId="5" xfId="0" applyNumberFormat="1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165" fontId="8" fillId="4" borderId="2" xfId="0" applyNumberFormat="1" applyFont="1" applyFill="1" applyBorder="1"/>
    <xf numFmtId="0" fontId="6" fillId="5" borderId="0" xfId="0" applyFont="1" applyFill="1" applyAlignment="1">
      <alignment wrapText="1"/>
    </xf>
    <xf numFmtId="165" fontId="11" fillId="2" borderId="8" xfId="0" applyNumberFormat="1" applyFont="1" applyFill="1" applyBorder="1"/>
    <xf numFmtId="165" fontId="11" fillId="2" borderId="9" xfId="0" applyNumberFormat="1" applyFont="1" applyFill="1" applyBorder="1"/>
    <xf numFmtId="165" fontId="7" fillId="5" borderId="7" xfId="0" applyNumberFormat="1" applyFont="1" applyFill="1" applyBorder="1" applyAlignment="1">
      <alignment wrapText="1"/>
    </xf>
    <xf numFmtId="0" fontId="13" fillId="2" borderId="0" xfId="0" applyFont="1" applyFill="1"/>
    <xf numFmtId="0" fontId="12" fillId="0" borderId="0" xfId="0" applyFont="1"/>
    <xf numFmtId="165" fontId="13" fillId="2" borderId="1" xfId="0" applyNumberFormat="1" applyFont="1" applyFill="1" applyBorder="1"/>
    <xf numFmtId="10" fontId="0" fillId="2" borderId="0" xfId="0" applyNumberFormat="1" applyFill="1"/>
    <xf numFmtId="165" fontId="0" fillId="2" borderId="16" xfId="0" applyNumberFormat="1" applyFill="1" applyBorder="1"/>
    <xf numFmtId="165" fontId="0" fillId="2" borderId="17" xfId="0" applyNumberFormat="1" applyFill="1" applyBorder="1"/>
    <xf numFmtId="0" fontId="0" fillId="9" borderId="10" xfId="0" applyFill="1" applyBorder="1" applyAlignment="1">
      <alignment horizontal="left"/>
    </xf>
    <xf numFmtId="0" fontId="0" fillId="9" borderId="11" xfId="0" applyFill="1" applyBorder="1" applyAlignment="1">
      <alignment horizontal="left"/>
    </xf>
    <xf numFmtId="0" fontId="0" fillId="9" borderId="19" xfId="0" applyFill="1" applyBorder="1" applyAlignment="1">
      <alignment horizontal="left"/>
    </xf>
    <xf numFmtId="165" fontId="0" fillId="11" borderId="0" xfId="0" applyNumberFormat="1" applyFill="1"/>
    <xf numFmtId="10" fontId="0" fillId="11" borderId="0" xfId="0" applyNumberFormat="1" applyFill="1"/>
    <xf numFmtId="0" fontId="6" fillId="7" borderId="0" xfId="0" applyFont="1" applyFill="1"/>
    <xf numFmtId="0" fontId="6" fillId="10" borderId="0" xfId="0" applyFont="1" applyFill="1" applyAlignment="1">
      <alignment horizontal="left"/>
    </xf>
    <xf numFmtId="165" fontId="6" fillId="10" borderId="0" xfId="0" applyNumberFormat="1" applyFont="1" applyFill="1"/>
    <xf numFmtId="10" fontId="6" fillId="10" borderId="0" xfId="0" applyNumberFormat="1" applyFont="1" applyFill="1"/>
    <xf numFmtId="0" fontId="13" fillId="0" borderId="0" xfId="0" applyFont="1"/>
    <xf numFmtId="165" fontId="0" fillId="0" borderId="0" xfId="0" applyNumberFormat="1"/>
    <xf numFmtId="165" fontId="14" fillId="0" borderId="1" xfId="0" applyNumberFormat="1" applyFont="1" applyBorder="1"/>
    <xf numFmtId="165" fontId="13" fillId="0" borderId="1" xfId="0" applyNumberFormat="1" applyFont="1" applyBorder="1"/>
    <xf numFmtId="10" fontId="0" fillId="0" borderId="0" xfId="0" applyNumberFormat="1"/>
    <xf numFmtId="0" fontId="0" fillId="12" borderId="19" xfId="0" applyFill="1" applyBorder="1" applyAlignment="1">
      <alignment horizontal="left"/>
    </xf>
    <xf numFmtId="165" fontId="7" fillId="13" borderId="2" xfId="0" applyNumberFormat="1" applyFont="1" applyFill="1" applyBorder="1" applyAlignment="1">
      <alignment wrapText="1"/>
    </xf>
    <xf numFmtId="165" fontId="7" fillId="13" borderId="5" xfId="0" applyNumberFormat="1" applyFont="1" applyFill="1" applyBorder="1" applyAlignment="1">
      <alignment wrapText="1"/>
    </xf>
    <xf numFmtId="0" fontId="8" fillId="13" borderId="0" xfId="0" applyFont="1" applyFill="1"/>
    <xf numFmtId="0" fontId="15" fillId="6" borderId="20" xfId="0" applyFont="1" applyFill="1" applyBorder="1"/>
    <xf numFmtId="0" fontId="8" fillId="2" borderId="19" xfId="0" applyFont="1" applyFill="1" applyBorder="1"/>
    <xf numFmtId="165" fontId="8" fillId="2" borderId="19" xfId="0" applyNumberFormat="1" applyFont="1" applyFill="1" applyBorder="1"/>
    <xf numFmtId="2" fontId="0" fillId="2" borderId="19" xfId="0" applyNumberFormat="1" applyFill="1" applyBorder="1"/>
    <xf numFmtId="0" fontId="0" fillId="8" borderId="12" xfId="0" applyFill="1" applyBorder="1" applyAlignment="1">
      <alignment horizontal="left"/>
    </xf>
    <xf numFmtId="165" fontId="0" fillId="8" borderId="12" xfId="0" applyNumberFormat="1" applyFill="1" applyBorder="1"/>
    <xf numFmtId="165" fontId="0" fillId="8" borderId="18" xfId="0" applyNumberFormat="1" applyFill="1" applyBorder="1"/>
    <xf numFmtId="2" fontId="0" fillId="8" borderId="15" xfId="0" applyNumberFormat="1" applyFill="1" applyBorder="1"/>
    <xf numFmtId="0" fontId="6" fillId="8" borderId="10" xfId="0" applyFont="1" applyFill="1" applyBorder="1"/>
    <xf numFmtId="0" fontId="6" fillId="8" borderId="16" xfId="0" applyFont="1" applyFill="1" applyBorder="1"/>
    <xf numFmtId="0" fontId="6" fillId="8" borderId="13" xfId="0" applyFont="1" applyFill="1" applyBorder="1"/>
    <xf numFmtId="2" fontId="0" fillId="11" borderId="13" xfId="0" applyNumberFormat="1" applyFill="1" applyBorder="1"/>
    <xf numFmtId="2" fontId="0" fillId="11" borderId="14" xfId="0" applyNumberFormat="1" applyFill="1" applyBorder="1"/>
    <xf numFmtId="0" fontId="15" fillId="6" borderId="21" xfId="0" applyFont="1" applyFill="1" applyBorder="1"/>
    <xf numFmtId="0" fontId="8" fillId="2" borderId="22" xfId="0" applyFont="1" applyFill="1" applyBorder="1"/>
    <xf numFmtId="0" fontId="6" fillId="5" borderId="0" xfId="0" applyFont="1" applyFill="1"/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theme="5" tint="0.39997558519241921"/>
        </lef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bgColor theme="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409]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rgb="FF000000"/>
        </top>
        <bottom/>
      </border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>
          <bgColor rgb="FFFF0000"/>
        </patternFill>
      </fill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fgColor theme="9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5"/>
        </patternFill>
      </fill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64" formatCode="&quot;₹&quot;\ #,##0.00"/>
      <fill>
        <patternFill patternType="solid">
          <fgColor rgb="FFFFFFFF"/>
          <bgColor rgb="FF3399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 margin Tred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00699912510936E-2"/>
          <c:y val="0.2786348060659084"/>
          <c:w val="0.93888888888888888"/>
          <c:h val="0.59642716535433071"/>
        </c:manualLayout>
      </c:layout>
      <c:lineChart>
        <c:grouping val="standard"/>
        <c:varyColors val="0"/>
        <c:ser>
          <c:idx val="6"/>
          <c:order val="6"/>
          <c:tx>
            <c:strRef>
              <c:f>'Dashboard Data'!$H$1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>
                  <a:tint val="720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Data'!$A$2:$A$11</c:f>
              <c:strCache>
                <c:ptCount val="10"/>
                <c:pt idx="0">
                  <c:v>FY09</c:v>
                </c:pt>
                <c:pt idx="1">
                  <c:v>FY10</c:v>
                </c:pt>
                <c:pt idx="2">
                  <c:v>FY11</c:v>
                </c:pt>
                <c:pt idx="3">
                  <c:v>FY12</c:v>
                </c:pt>
                <c:pt idx="4">
                  <c:v>FY13</c:v>
                </c:pt>
                <c:pt idx="5">
                  <c:v>FY14</c:v>
                </c:pt>
                <c:pt idx="6">
                  <c:v>FY15</c:v>
                </c:pt>
                <c:pt idx="7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'Dashboard Data'!$H$2:$H$11</c:f>
              <c:numCache>
                <c:formatCode>0.00%</c:formatCode>
                <c:ptCount val="10"/>
                <c:pt idx="0">
                  <c:v>0.6422071636011617</c:v>
                </c:pt>
                <c:pt idx="1">
                  <c:v>0.63857171331757734</c:v>
                </c:pt>
                <c:pt idx="2">
                  <c:v>0.60863306261011563</c:v>
                </c:pt>
                <c:pt idx="3">
                  <c:v>0.60320303225940808</c:v>
                </c:pt>
                <c:pt idx="4">
                  <c:v>0.60684253212105688</c:v>
                </c:pt>
                <c:pt idx="5">
                  <c:v>0.61109178659941732</c:v>
                </c:pt>
                <c:pt idx="6">
                  <c:v>0.60531900483135415</c:v>
                </c:pt>
                <c:pt idx="7">
                  <c:v>0.60669326135250701</c:v>
                </c:pt>
                <c:pt idx="8">
                  <c:v>0.62567071448743294</c:v>
                </c:pt>
                <c:pt idx="9">
                  <c:v>0.63052486187845302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6-420E-8983-7D5012AD4B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22028288"/>
        <c:axId val="222013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 Data'!$B$1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shade val="44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shade val="44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 Data'!$B$2:$B$11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30990</c:v>
                      </c:pt>
                      <c:pt idx="1">
                        <c:v>35119</c:v>
                      </c:pt>
                      <c:pt idx="2">
                        <c:v>46542</c:v>
                      </c:pt>
                      <c:pt idx="3">
                        <c:v>48017</c:v>
                      </c:pt>
                      <c:pt idx="4">
                        <c:v>46854</c:v>
                      </c:pt>
                      <c:pt idx="5">
                        <c:v>45998</c:v>
                      </c:pt>
                      <c:pt idx="6">
                        <c:v>44294</c:v>
                      </c:pt>
                      <c:pt idx="7">
                        <c:v>41863</c:v>
                      </c:pt>
                      <c:pt idx="8">
                        <c:v>35410</c:v>
                      </c:pt>
                      <c:pt idx="9">
                        <c:v>31856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F26-420E-8983-7D5012AD4BF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Data'!$C$1</c15:sqref>
                        </c15:formulaRef>
                      </c:ext>
                    </c:extLst>
                    <c:strCache>
                      <c:ptCount val="1"/>
                      <c:pt idx="0">
                        <c:v>COGS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shade val="58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shade val="58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Data'!$C$2:$C$11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11088</c:v>
                      </c:pt>
                      <c:pt idx="1">
                        <c:v>12693</c:v>
                      </c:pt>
                      <c:pt idx="2">
                        <c:v>18215</c:v>
                      </c:pt>
                      <c:pt idx="3">
                        <c:v>19053</c:v>
                      </c:pt>
                      <c:pt idx="4">
                        <c:v>18421</c:v>
                      </c:pt>
                      <c:pt idx="5">
                        <c:v>17889</c:v>
                      </c:pt>
                      <c:pt idx="6">
                        <c:v>17482</c:v>
                      </c:pt>
                      <c:pt idx="7">
                        <c:v>16465</c:v>
                      </c:pt>
                      <c:pt idx="8">
                        <c:v>13255</c:v>
                      </c:pt>
                      <c:pt idx="9">
                        <c:v>11770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F26-420E-8983-7D5012AD4BF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Data'!$D$1</c15:sqref>
                        </c15:formulaRef>
                      </c:ext>
                    </c:extLst>
                    <c:strCache>
                      <c:ptCount val="1"/>
                      <c:pt idx="0">
                        <c:v>Gross Profit.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shade val="72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shade val="72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Data'!$D$2:$D$11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19902</c:v>
                      </c:pt>
                      <c:pt idx="1">
                        <c:v>22426</c:v>
                      </c:pt>
                      <c:pt idx="2">
                        <c:v>28327</c:v>
                      </c:pt>
                      <c:pt idx="3">
                        <c:v>28964</c:v>
                      </c:pt>
                      <c:pt idx="4">
                        <c:v>28433</c:v>
                      </c:pt>
                      <c:pt idx="5">
                        <c:v>28109</c:v>
                      </c:pt>
                      <c:pt idx="6">
                        <c:v>26812</c:v>
                      </c:pt>
                      <c:pt idx="7">
                        <c:v>25398</c:v>
                      </c:pt>
                      <c:pt idx="8">
                        <c:v>22155</c:v>
                      </c:pt>
                      <c:pt idx="9">
                        <c:v>20086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F26-420E-8983-7D5012AD4BF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Data'!$E$1</c15:sqref>
                        </c15:formulaRef>
                      </c:ext>
                    </c:extLst>
                    <c:strCache>
                      <c:ptCount val="1"/>
                      <c:pt idx="0">
                        <c:v>SGA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shade val="86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shade val="86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Data'!$E$2:$E$11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11358</c:v>
                      </c:pt>
                      <c:pt idx="1">
                        <c:v>13194</c:v>
                      </c:pt>
                      <c:pt idx="2">
                        <c:v>17422</c:v>
                      </c:pt>
                      <c:pt idx="3">
                        <c:v>17738</c:v>
                      </c:pt>
                      <c:pt idx="4">
                        <c:v>17310</c:v>
                      </c:pt>
                      <c:pt idx="5">
                        <c:v>17218</c:v>
                      </c:pt>
                      <c:pt idx="6">
                        <c:v>16427</c:v>
                      </c:pt>
                      <c:pt idx="7">
                        <c:v>15262</c:v>
                      </c:pt>
                      <c:pt idx="8">
                        <c:v>12654</c:v>
                      </c:pt>
                      <c:pt idx="9">
                        <c:v>10307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F26-420E-8983-7D5012AD4BF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Data'!$F$1</c15:sqref>
                        </c15:formulaRef>
                      </c:ext>
                    </c:extLst>
                    <c:strCache>
                      <c:ptCount val="1"/>
                      <c:pt idx="0">
                        <c:v>Operating Income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Data'!$F$2:$F$11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8231</c:v>
                      </c:pt>
                      <c:pt idx="1">
                        <c:v>8413</c:v>
                      </c:pt>
                      <c:pt idx="2">
                        <c:v>10173</c:v>
                      </c:pt>
                      <c:pt idx="3">
                        <c:v>10779</c:v>
                      </c:pt>
                      <c:pt idx="4">
                        <c:v>10228</c:v>
                      </c:pt>
                      <c:pt idx="5">
                        <c:v>9708</c:v>
                      </c:pt>
                      <c:pt idx="6">
                        <c:v>8728</c:v>
                      </c:pt>
                      <c:pt idx="7">
                        <c:v>8626</c:v>
                      </c:pt>
                      <c:pt idx="8">
                        <c:v>7599</c:v>
                      </c:pt>
                      <c:pt idx="9">
                        <c:v>8700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F26-420E-8983-7D5012AD4BF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Data'!$G$1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tint val="86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tint val="86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Data'!$G$2:$G$11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6906</c:v>
                      </c:pt>
                      <c:pt idx="1">
                        <c:v>11837</c:v>
                      </c:pt>
                      <c:pt idx="2">
                        <c:v>8646</c:v>
                      </c:pt>
                      <c:pt idx="3">
                        <c:v>9086</c:v>
                      </c:pt>
                      <c:pt idx="4">
                        <c:v>8626</c:v>
                      </c:pt>
                      <c:pt idx="5">
                        <c:v>7124</c:v>
                      </c:pt>
                      <c:pt idx="6">
                        <c:v>7366</c:v>
                      </c:pt>
                      <c:pt idx="7">
                        <c:v>6550</c:v>
                      </c:pt>
                      <c:pt idx="8">
                        <c:v>1283</c:v>
                      </c:pt>
                      <c:pt idx="9">
                        <c:v>6476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F26-420E-8983-7D5012AD4BF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Data'!$I$1</c15:sqref>
                        </c15:formulaRef>
                      </c:ext>
                    </c:extLst>
                    <c:strCache>
                      <c:ptCount val="1"/>
                      <c:pt idx="0">
                        <c:v>Operating Margin %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tint val="58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tint val="58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Data'!$I$2:$I$11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0.26560180703452729</c:v>
                      </c:pt>
                      <c:pt idx="1">
                        <c:v>0.23955693499245423</c:v>
                      </c:pt>
                      <c:pt idx="2">
                        <c:v>0.21857676936960166</c:v>
                      </c:pt>
                      <c:pt idx="3">
                        <c:v>0.22448299560572296</c:v>
                      </c:pt>
                      <c:pt idx="4">
                        <c:v>0.21829512955137234</c:v>
                      </c:pt>
                      <c:pt idx="5">
                        <c:v>0.21105265446323754</c:v>
                      </c:pt>
                      <c:pt idx="6">
                        <c:v>0.19704700410890866</c:v>
                      </c:pt>
                      <c:pt idx="7">
                        <c:v>0.20605307789694957</c:v>
                      </c:pt>
                      <c:pt idx="8">
                        <c:v>0.21460039536853995</c:v>
                      </c:pt>
                      <c:pt idx="9">
                        <c:v>0.27310396785534907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F26-420E-8983-7D5012AD4BF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Data'!$J$1</c15:sqref>
                        </c15:formulaRef>
                      </c:ext>
                    </c:extLst>
                    <c:strCache>
                      <c:ptCount val="1"/>
                      <c:pt idx="0">
                        <c:v>Net Margin %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tint val="44000"/>
                      </a:schemeClr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>
                        <a:tint val="44000"/>
                      </a:schemeClr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Data'!$A$2:$A$11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Data'!$J$2:$J$11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0.22284607938044532</c:v>
                      </c:pt>
                      <c:pt idx="1">
                        <c:v>0.33705401634442894</c:v>
                      </c:pt>
                      <c:pt idx="2">
                        <c:v>0.18576769369601651</c:v>
                      </c:pt>
                      <c:pt idx="3">
                        <c:v>0.18922464960326552</c:v>
                      </c:pt>
                      <c:pt idx="4">
                        <c:v>0.18410381184103811</c:v>
                      </c:pt>
                      <c:pt idx="5">
                        <c:v>0.1548762989695204</c:v>
                      </c:pt>
                      <c:pt idx="6">
                        <c:v>0.16629791845396669</c:v>
                      </c:pt>
                      <c:pt idx="7">
                        <c:v>0.15646274753362158</c:v>
                      </c:pt>
                      <c:pt idx="8">
                        <c:v>3.6232702626376727E-2</c:v>
                      </c:pt>
                      <c:pt idx="9">
                        <c:v>0.2032898041185334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F26-420E-8983-7D5012AD4BF3}"/>
                  </c:ext>
                </c:extLst>
              </c15:ser>
            </c15:filteredLineSeries>
          </c:ext>
        </c:extLst>
      </c:lineChart>
      <c:catAx>
        <c:axId val="2220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spc="3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13408"/>
        <c:crosses val="autoZero"/>
        <c:auto val="1"/>
        <c:lblAlgn val="ctr"/>
        <c:lblOffset val="100"/>
        <c:noMultiLvlLbl val="0"/>
      </c:catAx>
      <c:valAx>
        <c:axId val="22201340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220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4.5140711577719454E-3"/>
          <c:w val="0.93888888888888888"/>
          <c:h val="0.69827172645086033"/>
        </c:manualLayout>
      </c:layout>
      <c:lineChart>
        <c:grouping val="standard"/>
        <c:varyColors val="0"/>
        <c:ser>
          <c:idx val="2"/>
          <c:order val="2"/>
          <c:tx>
            <c:strRef>
              <c:f>'Dashboard Data'!$D$14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Data'!$A$15:$A$24</c:f>
              <c:strCache>
                <c:ptCount val="10"/>
                <c:pt idx="0">
                  <c:v>FY09</c:v>
                </c:pt>
                <c:pt idx="1">
                  <c:v>FY10</c:v>
                </c:pt>
                <c:pt idx="2">
                  <c:v>FY11</c:v>
                </c:pt>
                <c:pt idx="3">
                  <c:v>FY12</c:v>
                </c:pt>
                <c:pt idx="4">
                  <c:v>FY13</c:v>
                </c:pt>
                <c:pt idx="5">
                  <c:v>FY14</c:v>
                </c:pt>
                <c:pt idx="6">
                  <c:v>FY15</c:v>
                </c:pt>
                <c:pt idx="7">
                  <c:v>FY16</c:v>
                </c:pt>
                <c:pt idx="8">
                  <c:v>FY17</c:v>
                </c:pt>
                <c:pt idx="9">
                  <c:v>FY18</c:v>
                </c:pt>
              </c:strCache>
            </c:strRef>
          </c:cat>
          <c:val>
            <c:numRef>
              <c:f>'Dashboard Data'!$D$15:$D$24</c:f>
              <c:numCache>
                <c:formatCode>0.00</c:formatCode>
                <c:ptCount val="10"/>
                <c:pt idx="0">
                  <c:v>0.19959756963623451</c:v>
                </c:pt>
                <c:pt idx="1">
                  <c:v>0.4483507360219689</c:v>
                </c:pt>
                <c:pt idx="2">
                  <c:v>0.42780614642398423</c:v>
                </c:pt>
                <c:pt idx="3">
                  <c:v>0.44428364688856731</c:v>
                </c:pt>
                <c:pt idx="4">
                  <c:v>0.5727870813397129</c:v>
                </c:pt>
                <c:pt idx="5">
                  <c:v>0.62376885573116059</c:v>
                </c:pt>
                <c:pt idx="6">
                  <c:v>1.0988588728458315</c:v>
                </c:pt>
                <c:pt idx="7">
                  <c:v>1.2783807062876831</c:v>
                </c:pt>
                <c:pt idx="8">
                  <c:v>1.6431469673815671</c:v>
                </c:pt>
                <c:pt idx="9">
                  <c:v>1.3308846678560184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C-4C08-BD2E-E0E2B1E43E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8685344"/>
        <c:axId val="218673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 Data'!$B$14</c15:sqref>
                        </c15:formulaRef>
                      </c:ext>
                    </c:extLst>
                    <c:strCache>
                      <c:ptCount val="1"/>
                      <c:pt idx="0">
                        <c:v>Long-term debt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'Dashboard Data'!$A$15:$A$24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 Data'!$B$15:$B$24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5059</c:v>
                      </c:pt>
                      <c:pt idx="1">
                        <c:v>14041</c:v>
                      </c:pt>
                      <c:pt idx="2">
                        <c:v>13656</c:v>
                      </c:pt>
                      <c:pt idx="3">
                        <c:v>14736</c:v>
                      </c:pt>
                      <c:pt idx="4">
                        <c:v>19154</c:v>
                      </c:pt>
                      <c:pt idx="5">
                        <c:v>19063</c:v>
                      </c:pt>
                      <c:pt idx="6">
                        <c:v>28311</c:v>
                      </c:pt>
                      <c:pt idx="7">
                        <c:v>29684</c:v>
                      </c:pt>
                      <c:pt idx="8">
                        <c:v>31182</c:v>
                      </c:pt>
                      <c:pt idx="9">
                        <c:v>25364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D3C-4C08-BD2E-E0E2B1E43E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Data'!$C$14</c15:sqref>
                        </c15:formulaRef>
                      </c:ext>
                    </c:extLst>
                    <c:strCache>
                      <c:ptCount val="1"/>
                      <c:pt idx="0">
                        <c:v>Total equity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'Dashboard Data'!$A$15:$A$24</c15:sqref>
                        </c15:formulaRef>
                      </c:ext>
                    </c:extLst>
                    <c:strCache>
                      <c:ptCount val="10"/>
                      <c:pt idx="0">
                        <c:v>FY09</c:v>
                      </c:pt>
                      <c:pt idx="1">
                        <c:v>FY10</c:v>
                      </c:pt>
                      <c:pt idx="2">
                        <c:v>FY11</c:v>
                      </c:pt>
                      <c:pt idx="3">
                        <c:v>FY12</c:v>
                      </c:pt>
                      <c:pt idx="4">
                        <c:v>FY13</c:v>
                      </c:pt>
                      <c:pt idx="5">
                        <c:v>FY14</c:v>
                      </c:pt>
                      <c:pt idx="6">
                        <c:v>FY15</c:v>
                      </c:pt>
                      <c:pt idx="7">
                        <c:v>FY16</c:v>
                      </c:pt>
                      <c:pt idx="8">
                        <c:v>FY17</c:v>
                      </c:pt>
                      <c:pt idx="9">
                        <c:v>FY18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'Dashboard Data'!$C$15:$C$24</c15:sqref>
                        </c15:formulaRef>
                      </c:ext>
                    </c:extLst>
                    <c:numCache>
                      <c:formatCode>[$$-409]#,##0.00</c:formatCode>
                      <c:ptCount val="10"/>
                      <c:pt idx="0">
                        <c:v>25346</c:v>
                      </c:pt>
                      <c:pt idx="1">
                        <c:v>31317</c:v>
                      </c:pt>
                      <c:pt idx="2">
                        <c:v>31921</c:v>
                      </c:pt>
                      <c:pt idx="3">
                        <c:v>33168</c:v>
                      </c:pt>
                      <c:pt idx="4">
                        <c:v>33440</c:v>
                      </c:pt>
                      <c:pt idx="5">
                        <c:v>30561</c:v>
                      </c:pt>
                      <c:pt idx="6">
                        <c:v>25764</c:v>
                      </c:pt>
                      <c:pt idx="7">
                        <c:v>23220</c:v>
                      </c:pt>
                      <c:pt idx="8">
                        <c:v>18977</c:v>
                      </c:pt>
                      <c:pt idx="9">
                        <c:v>19058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3C-4C08-BD2E-E0E2B1E43E32}"/>
                  </c:ext>
                </c:extLst>
              </c15:ser>
            </c15:filteredLineSeries>
          </c:ext>
        </c:extLst>
      </c:lineChart>
      <c:catAx>
        <c:axId val="2186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73344"/>
        <c:crosses val="autoZero"/>
        <c:auto val="1"/>
        <c:lblAlgn val="ctr"/>
        <c:lblOffset val="100"/>
        <c:noMultiLvlLbl val="0"/>
      </c:catAx>
      <c:valAx>
        <c:axId val="2186733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868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14</xdr:row>
      <xdr:rowOff>109537</xdr:rowOff>
    </xdr:from>
    <xdr:to>
      <xdr:col>3</xdr:col>
      <xdr:colOff>1752600</xdr:colOff>
      <xdr:row>28</xdr:row>
      <xdr:rowOff>185737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44520470-4971-B0FC-0CA2-934439C08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14</xdr:row>
      <xdr:rowOff>147637</xdr:rowOff>
    </xdr:from>
    <xdr:to>
      <xdr:col>7</xdr:col>
      <xdr:colOff>514350</xdr:colOff>
      <xdr:row>29</xdr:row>
      <xdr:rowOff>33337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BA229DA-B6B1-1DC1-3554-BEFC5BE48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7.507102314812" createdVersion="8" refreshedVersion="8" minRefreshableVersion="3" recordCount="10" xr:uid="{EED2DE44-29C3-4E97-A09F-375F823B87BD}">
  <cacheSource type="worksheet">
    <worksheetSource name="Table3"/>
  </cacheSource>
  <cacheFields count="13">
    <cacheField name="Year" numFmtId="0">
      <sharedItems count="10">
        <s v="FY09"/>
        <s v="FY10"/>
        <s v="FY11"/>
        <s v="FY12"/>
        <s v="FY13"/>
        <s v="FY14"/>
        <s v="FY15"/>
        <s v="FY16"/>
        <s v="FY17"/>
        <s v="FY18"/>
      </sharedItems>
    </cacheField>
    <cacheField name="Revenue" numFmtId="165">
      <sharedItems containsSemiMixedTypes="0" containsString="0" containsNumber="1" containsInteger="1" minValue="30990" maxValue="48017"/>
    </cacheField>
    <cacheField name="COGS" numFmtId="165">
      <sharedItems containsSemiMixedTypes="0" containsString="0" containsNumber="1" containsInteger="1" minValue="11088" maxValue="19053"/>
    </cacheField>
    <cacheField name="Gross Profit." numFmtId="165">
      <sharedItems containsSemiMixedTypes="0" containsString="0" containsNumber="1" containsInteger="1" minValue="19902" maxValue="28964"/>
    </cacheField>
    <cacheField name="SGA" numFmtId="165">
      <sharedItems containsSemiMixedTypes="0" containsString="0" containsNumber="1" containsInteger="1" minValue="10307" maxValue="17738"/>
    </cacheField>
    <cacheField name="Operating Income" numFmtId="165">
      <sharedItems containsSemiMixedTypes="0" containsString="0" containsNumber="1" containsInteger="1" minValue="7599" maxValue="10779"/>
    </cacheField>
    <cacheField name="Net Income" numFmtId="165">
      <sharedItems containsSemiMixedTypes="0" containsString="0" containsNumber="1" containsInteger="1" minValue="1283" maxValue="11837"/>
    </cacheField>
    <cacheField name="Gross Margin %" numFmtId="10">
      <sharedItems containsSemiMixedTypes="0" containsString="0" containsNumber="1" minValue="0.60320303225940808" maxValue="0.6422071636011617"/>
    </cacheField>
    <cacheField name="Operating Margin %" numFmtId="10">
      <sharedItems containsSemiMixedTypes="0" containsString="0" containsNumber="1" minValue="0.19704700410890866" maxValue="0.27310396785534907"/>
    </cacheField>
    <cacheField name="Net Margin %" numFmtId="10">
      <sharedItems containsSemiMixedTypes="0" containsString="0" containsNumber="1" minValue="3.6232702626376727E-2" maxValue="0.33705401634442894"/>
    </cacheField>
    <cacheField name="Gross Margin" numFmtId="0" formula="'Gross Profit.'/Revenue" databaseField="0"/>
    <cacheField name="Operating Margin" numFmtId="0" formula="'Operating Income'/Revenue" databaseField="0"/>
    <cacheField name="Net margin" numFmtId="0" formula="'Net Income'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7.525378703707" createdVersion="8" refreshedVersion="8" minRefreshableVersion="3" recordCount="10" xr:uid="{3E68B3F3-2F74-43AD-811F-F08CE81F453D}">
  <cacheSource type="worksheet">
    <worksheetSource name="Table1"/>
  </cacheSource>
  <cacheFields count="4">
    <cacheField name="Year" numFmtId="0">
      <sharedItems count="10">
        <s v="FY09"/>
        <s v="FY10"/>
        <s v="FY11"/>
        <s v="FY12"/>
        <s v="FY13"/>
        <s v="FY14"/>
        <s v="FY15"/>
        <s v="FY16"/>
        <s v="FY17"/>
        <s v="FY18"/>
      </sharedItems>
    </cacheField>
    <cacheField name="Long-term debt" numFmtId="165">
      <sharedItems containsSemiMixedTypes="0" containsString="0" containsNumber="1" containsInteger="1" minValue="5059" maxValue="31182"/>
    </cacheField>
    <cacheField name="Total equity" numFmtId="165">
      <sharedItems containsSemiMixedTypes="0" containsString="0" containsNumber="1" containsInteger="1" minValue="18977" maxValue="33440"/>
    </cacheField>
    <cacheField name="Debt To Equity" numFmtId="2">
      <sharedItems containsSemiMixedTypes="0" containsString="0" containsNumber="1" minValue="0.19959756963623451" maxValue="1.6431469673815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0990"/>
    <n v="11088"/>
    <n v="19902"/>
    <n v="11358"/>
    <n v="8231"/>
    <n v="6906"/>
    <n v="0.6422071636011617"/>
    <n v="0.26560180703452729"/>
    <n v="0.22284607938044532"/>
  </r>
  <r>
    <x v="1"/>
    <n v="35119"/>
    <n v="12693"/>
    <n v="22426"/>
    <n v="13194"/>
    <n v="8413"/>
    <n v="11837"/>
    <n v="0.63857171331757734"/>
    <n v="0.23955693499245423"/>
    <n v="0.33705401634442894"/>
  </r>
  <r>
    <x v="2"/>
    <n v="46542"/>
    <n v="18215"/>
    <n v="28327"/>
    <n v="17422"/>
    <n v="10173"/>
    <n v="8646"/>
    <n v="0.60863306261011563"/>
    <n v="0.21857676936960166"/>
    <n v="0.18576769369601651"/>
  </r>
  <r>
    <x v="3"/>
    <n v="48017"/>
    <n v="19053"/>
    <n v="28964"/>
    <n v="17738"/>
    <n v="10779"/>
    <n v="9086"/>
    <n v="0.60320303225940808"/>
    <n v="0.22448299560572296"/>
    <n v="0.18922464960326552"/>
  </r>
  <r>
    <x v="4"/>
    <n v="46854"/>
    <n v="18421"/>
    <n v="28433"/>
    <n v="17310"/>
    <n v="10228"/>
    <n v="8626"/>
    <n v="0.60684253212105688"/>
    <n v="0.21829512955137234"/>
    <n v="0.18410381184103811"/>
  </r>
  <r>
    <x v="5"/>
    <n v="45998"/>
    <n v="17889"/>
    <n v="28109"/>
    <n v="17218"/>
    <n v="9708"/>
    <n v="7124"/>
    <n v="0.61109178659941732"/>
    <n v="0.21105265446323754"/>
    <n v="0.1548762989695204"/>
  </r>
  <r>
    <x v="6"/>
    <n v="44294"/>
    <n v="17482"/>
    <n v="26812"/>
    <n v="16427"/>
    <n v="8728"/>
    <n v="7366"/>
    <n v="0.60531900483135415"/>
    <n v="0.19704700410890866"/>
    <n v="0.16629791845396669"/>
  </r>
  <r>
    <x v="7"/>
    <n v="41863"/>
    <n v="16465"/>
    <n v="25398"/>
    <n v="15262"/>
    <n v="8626"/>
    <n v="6550"/>
    <n v="0.60669326135250701"/>
    <n v="0.20605307789694957"/>
    <n v="0.15646274753362158"/>
  </r>
  <r>
    <x v="8"/>
    <n v="35410"/>
    <n v="13255"/>
    <n v="22155"/>
    <n v="12654"/>
    <n v="7599"/>
    <n v="1283"/>
    <n v="0.62567071448743294"/>
    <n v="0.21460039536853995"/>
    <n v="3.6232702626376727E-2"/>
  </r>
  <r>
    <x v="9"/>
    <n v="31856"/>
    <n v="11770"/>
    <n v="20086"/>
    <n v="10307"/>
    <n v="8700"/>
    <n v="6476"/>
    <n v="0.63052486187845302"/>
    <n v="0.27310396785534907"/>
    <n v="0.20328980411853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059"/>
    <n v="25346"/>
    <n v="0.19959756963623451"/>
  </r>
  <r>
    <x v="1"/>
    <n v="14041"/>
    <n v="31317"/>
    <n v="0.4483507360219689"/>
  </r>
  <r>
    <x v="2"/>
    <n v="13656"/>
    <n v="31921"/>
    <n v="0.42780614642398423"/>
  </r>
  <r>
    <x v="3"/>
    <n v="14736"/>
    <n v="33168"/>
    <n v="0.44428364688856731"/>
  </r>
  <r>
    <x v="4"/>
    <n v="19154"/>
    <n v="33440"/>
    <n v="0.5727870813397129"/>
  </r>
  <r>
    <x v="5"/>
    <n v="19063"/>
    <n v="30561"/>
    <n v="0.62376885573116059"/>
  </r>
  <r>
    <x v="6"/>
    <n v="28311"/>
    <n v="25764"/>
    <n v="1.0988588728458315"/>
  </r>
  <r>
    <x v="7"/>
    <n v="29684"/>
    <n v="23220"/>
    <n v="1.2783807062876831"/>
  </r>
  <r>
    <x v="8"/>
    <n v="31182"/>
    <n v="18977"/>
    <n v="1.6431469673815671"/>
  </r>
  <r>
    <x v="9"/>
    <n v="25364"/>
    <n v="19058"/>
    <n v="1.33088466785601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53546-7732-4BAE-811A-39F0345D6C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H14" firstHeaderRow="0" firstDataRow="1" firstDataCol="1"/>
  <pivotFields count="1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/>
    <pivotField numFmtId="165" showAll="0"/>
    <pivotField dataField="1" numFmtId="165" showAll="0"/>
    <pivotField numFmtId="165" showAll="0"/>
    <pivotField dataField="1" numFmtId="165" showAll="0"/>
    <pivotField dataField="1" numFmtId="165" showAll="0"/>
    <pivotField numFmtId="10" showAll="0"/>
    <pivotField numFmtId="10" showAll="0"/>
    <pivotField numFmtId="10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Revenue" fld="1" baseField="0" baseItem="0" numFmtId="165"/>
    <dataField name="Sum of Gross Profit." fld="3" baseField="0" baseItem="0" numFmtId="165"/>
    <dataField name="Sum of Operating Income" fld="5" baseField="0" baseItem="0" numFmtId="165"/>
    <dataField name="Sum of Net Income" fld="6" baseField="0" baseItem="0" numFmtId="165"/>
    <dataField name="Sum of Operating Margin" fld="11" baseField="0" baseItem="3" numFmtId="10"/>
    <dataField name="Sum of Net margin" fld="12" baseField="0" baseItem="3" numFmtId="10"/>
    <dataField name="Sum of Gross Margin" fld="10" baseField="0" baseItem="3" numFmtId="10"/>
  </dataFields>
  <formats count="27"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fieldPosition="0">
        <references count="1">
          <reference field="0" count="0"/>
        </references>
      </pivotArea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">
      <pivotArea dataOnly="0" labelOnly="1" fieldPosition="0">
        <references count="1">
          <reference field="0" count="0"/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39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38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  <format dxfId="37">
      <pivotArea collapsedLevelsAreSubtotals="1" fieldPosition="0">
        <references count="2">
          <reference field="4294967294" count="1" selected="0">
            <x v="6"/>
          </reference>
          <reference field="0" count="0"/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0" count="7">
            <x v="2"/>
            <x v="3"/>
            <x v="4"/>
            <x v="5"/>
            <x v="6"/>
            <x v="7"/>
            <x v="8"/>
          </reference>
        </references>
      </pivotArea>
    </format>
  </formats>
  <conditionalFormats count="6">
    <conditionalFormat priority="2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C2D40-82D3-49E4-9E80-81B57A3159B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42" firstHeaderRow="0" firstDataRow="1" firstDataCol="1"/>
  <pivotFields count="4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/>
    <pivotField dataField="1" numFmtId="165" showAll="0"/>
    <pivotField dataField="1"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ng-term debt" fld="1" baseField="0" baseItem="0" numFmtId="165"/>
    <dataField name="Sum of Total equity" fld="2" baseField="0" baseItem="0" numFmtId="165"/>
    <dataField name="Sum of Debt To Equity" fld="3" baseField="0" baseItem="0" numFmtId="2"/>
  </dataFields>
  <formats count="14"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">
      <pivotArea field="0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dataOnly="0" grandRow="1" axis="axisRow" fieldPosition="0"/>
    </format>
    <format dxfId="61">
      <pivotArea dataOnly="0" grandRow="1" axis="axisRow" fieldPosition="0"/>
    </format>
    <format dxfId="60">
      <pivotArea field="0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">
      <pivotArea dataOnly="0" labelOnly="1" fieldPosition="0">
        <references count="1">
          <reference field="0" count="0"/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83457-1AEC-42F0-95B5-0A8BBA0BCACD}" name="Table2" displayName="Table2" ref="B1:L104" totalsRowShown="0" headerRowDxfId="84" dataDxfId="83">
  <autoFilter ref="B1:L104" xr:uid="{5B583457-1AEC-42F0-95B5-0A8BBA0BCACD}"/>
  <tableColumns count="11">
    <tableColumn id="1" xr3:uid="{72B9E464-9D82-4B3B-B37B-B686DDFE74AF}" name="Column1" dataDxfId="82"/>
    <tableColumn id="2" xr3:uid="{2F1FBB65-9ADE-491D-87AF-3EC8E0A26488}" name="FY09" dataDxfId="81"/>
    <tableColumn id="3" xr3:uid="{0BBF41EA-0AC5-4F37-B47D-96AC27AE549D}" name="FY10" dataDxfId="80"/>
    <tableColumn id="4" xr3:uid="{AC5208FA-8FFE-4332-AF09-5739A12BA145}" name="FY11" dataDxfId="79"/>
    <tableColumn id="5" xr3:uid="{78DA5AD3-6FFB-414D-9E29-6B49350940E8}" name="FY12" dataDxfId="78"/>
    <tableColumn id="6" xr3:uid="{2C93A856-B0F3-4832-8091-B7E33E341D8B}" name="FY13" dataDxfId="77"/>
    <tableColumn id="7" xr3:uid="{46901488-2A89-4D6B-9D5E-CF931BE5468C}" name="FY14" dataDxfId="76"/>
    <tableColumn id="8" xr3:uid="{1C087395-4181-40E7-9D8E-D7381327A4DB}" name="FY15" dataDxfId="75"/>
    <tableColumn id="9" xr3:uid="{B9BFC303-6486-4AF8-84B7-D3ECB4BC18C2}" name="FY16" dataDxfId="74"/>
    <tableColumn id="10" xr3:uid="{2EE2AEB3-52B2-4E44-BA5E-C9F34BA2E29B}" name="FY17" dataDxfId="73"/>
    <tableColumn id="11" xr3:uid="{E55754A6-0EDA-4C5C-A12A-A0599F2D43C5}" name="FY18" dataDxfId="7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395FFF-CD1E-4A9F-9D0B-AEFFCC6EA9C0}" name="Table3" displayName="Table3" ref="A1:J12" totalsRowCount="1" headerRowDxfId="27">
  <autoFilter ref="A1:J11" xr:uid="{A4395FFF-CD1E-4A9F-9D0B-AEFFCC6EA9C0}"/>
  <tableColumns count="10">
    <tableColumn id="1" xr3:uid="{9F3E7798-D6A1-463E-BB41-91A4715AAA15}" name="Year" dataDxfId="26" totalsRowDxfId="25"/>
    <tableColumn id="2" xr3:uid="{770FD06A-88AF-4ECE-9074-F1AC2BDB3935}" name="Revenue" dataDxfId="24" totalsRowDxfId="23"/>
    <tableColumn id="3" xr3:uid="{127502C5-4094-4C35-B554-4D222EE0F668}" name="COGS" dataDxfId="22" totalsRowDxfId="21"/>
    <tableColumn id="5" xr3:uid="{A5DA5C65-6B85-4931-897F-9D7CDF30C33A}" name="Gross Profit." dataDxfId="20" totalsRowDxfId="19">
      <calculatedColumnFormula>B2-C2</calculatedColumnFormula>
    </tableColumn>
    <tableColumn id="6" xr3:uid="{CB1A42F2-6C1E-4921-89E6-1F4ECF177B9C}" name="SGA" dataDxfId="18" totalsRowDxfId="17"/>
    <tableColumn id="7" xr3:uid="{F11049CA-2E22-4DD3-9108-25138D9520DD}" name="Operating Income" dataDxfId="16" totalsRowDxfId="15"/>
    <tableColumn id="8" xr3:uid="{46E46F79-405B-4FF3-9AFC-6CD5793B8655}" name="Net Income" dataDxfId="14" totalsRowDxfId="13"/>
    <tableColumn id="9" xr3:uid="{B9F07F0B-0318-47EF-BBE9-91E39CE5EC23}" name="Gross Margin %" totalsRowFunction="custom" dataDxfId="12" totalsRowDxfId="11">
      <calculatedColumnFormula>Table3[[#This Row],[Gross Profit.]]/Table3[[#This Row],[Revenue]]</calculatedColumnFormula>
      <totalsRowFormula>AVERAGE(Table3[Gross Margin %])</totalsRowFormula>
    </tableColumn>
    <tableColumn id="10" xr3:uid="{4A3DF499-A9BB-411D-A081-C326477D0934}" name="Operating Margin %" totalsRowFunction="custom" dataDxfId="10" totalsRowDxfId="9">
      <calculatedColumnFormula>Table3[[#This Row],[Operating Income]]/Table3[[#This Row],[Revenue]]</calculatedColumnFormula>
      <totalsRowFormula>AVERAGE(Table3[Operating Margin %])</totalsRowFormula>
    </tableColumn>
    <tableColumn id="11" xr3:uid="{51C387E5-CA51-4627-B5A5-34C90D8CB13D}" name="Net Margin %" totalsRowFunction="custom" dataDxfId="8" totalsRowDxfId="7">
      <calculatedColumnFormula>G2/B2</calculatedColumnFormula>
      <totalsRowFormula>AVERAGE(Table3[Net Margin %])</totalsRow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6C152-3E66-4840-AA35-1A7A5624303D}" name="Table1" displayName="Table1" ref="A14:D24" totalsRowShown="0" headerRowDxfId="6" tableBorderDxfId="5">
  <autoFilter ref="A14:D24" xr:uid="{CC26C152-3E66-4840-AA35-1A7A5624303D}"/>
  <tableColumns count="4">
    <tableColumn id="1" xr3:uid="{C1B19FE4-2D9E-4C07-ACD0-AFBE6C5F70EC}" name="Year" dataDxfId="4"/>
    <tableColumn id="2" xr3:uid="{8374061E-508D-4232-BF17-14E942D02B17}" name="Long-term debt" dataDxfId="3"/>
    <tableColumn id="3" xr3:uid="{A8CC351E-9A27-4192-84EE-EAEE39C10B85}" name="Total equity" dataDxfId="2"/>
    <tableColumn id="4" xr3:uid="{B8B0FCF6-EAD3-4416-8F5A-322BED102865}" name="Debt To Equity" dataDxfId="1">
      <calculatedColumnFormula>B15/C15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imfi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opLeftCell="A37" workbookViewId="0">
      <selection activeCell="B54" sqref="B54"/>
    </sheetView>
  </sheetViews>
  <sheetFormatPr defaultRowHeight="15" x14ac:dyDescent="0.25"/>
  <cols>
    <col min="1" max="1" width="10.28515625" customWidth="1"/>
    <col min="2" max="2" width="62.7109375" customWidth="1"/>
    <col min="3" max="10" width="11" customWidth="1"/>
    <col min="11" max="12" width="12" customWidth="1"/>
  </cols>
  <sheetData>
    <row r="1" spans="1:12" s="1" customFormat="1" ht="27.95" customHeight="1" x14ac:dyDescent="0.25">
      <c r="A1" s="2" t="s">
        <v>0</v>
      </c>
      <c r="B1" s="3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114</v>
      </c>
    </row>
    <row r="2" spans="1:12" ht="27.9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7.95" customHeight="1" x14ac:dyDescent="0.25">
      <c r="A3" t="s">
        <v>1</v>
      </c>
      <c r="B3" s="8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7.95" customHeight="1" x14ac:dyDescent="0.25">
      <c r="B4" s="10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</row>
    <row r="5" spans="1:12" ht="27.95" customHeight="1" x14ac:dyDescent="0.25">
      <c r="B5" s="5" t="s">
        <v>13</v>
      </c>
      <c r="C5" s="5">
        <v>30990</v>
      </c>
      <c r="D5" s="5">
        <v>35119</v>
      </c>
      <c r="E5" s="5">
        <v>46542</v>
      </c>
      <c r="F5" s="5">
        <v>48017</v>
      </c>
      <c r="G5" s="5">
        <v>46854</v>
      </c>
      <c r="H5" s="5">
        <v>45998</v>
      </c>
      <c r="I5" s="5">
        <v>44294</v>
      </c>
      <c r="J5" s="5">
        <v>41863</v>
      </c>
      <c r="K5" s="5">
        <v>35410</v>
      </c>
      <c r="L5" s="5">
        <v>31856</v>
      </c>
    </row>
    <row r="6" spans="1:12" ht="27.95" customHeight="1" x14ac:dyDescent="0.25">
      <c r="B6" s="5" t="s">
        <v>14</v>
      </c>
      <c r="C6" s="5">
        <v>11088</v>
      </c>
      <c r="D6" s="5">
        <v>12693</v>
      </c>
      <c r="E6" s="5">
        <v>18215</v>
      </c>
      <c r="F6" s="5">
        <v>19053</v>
      </c>
      <c r="G6" s="5">
        <v>18421</v>
      </c>
      <c r="H6" s="5">
        <v>17889</v>
      </c>
      <c r="I6" s="5">
        <v>17482</v>
      </c>
      <c r="J6" s="5">
        <v>16465</v>
      </c>
      <c r="K6" s="5">
        <v>13255</v>
      </c>
      <c r="L6" s="5">
        <v>11770</v>
      </c>
    </row>
    <row r="7" spans="1:12" ht="27.95" customHeight="1" x14ac:dyDescent="0.25">
      <c r="B7" s="6" t="s">
        <v>15</v>
      </c>
      <c r="C7" s="6">
        <f>C5-C6</f>
        <v>19902</v>
      </c>
      <c r="D7" s="6">
        <f t="shared" ref="D7:L7" si="0">D5-D6</f>
        <v>22426</v>
      </c>
      <c r="E7" s="6">
        <f t="shared" si="0"/>
        <v>28327</v>
      </c>
      <c r="F7" s="6">
        <f t="shared" si="0"/>
        <v>28964</v>
      </c>
      <c r="G7" s="6">
        <f t="shared" si="0"/>
        <v>28433</v>
      </c>
      <c r="H7" s="6">
        <f t="shared" si="0"/>
        <v>28109</v>
      </c>
      <c r="I7" s="6">
        <f t="shared" si="0"/>
        <v>26812</v>
      </c>
      <c r="J7" s="6">
        <f t="shared" si="0"/>
        <v>25398</v>
      </c>
      <c r="K7" s="6">
        <f t="shared" si="0"/>
        <v>22155</v>
      </c>
      <c r="L7" s="6">
        <f t="shared" si="0"/>
        <v>20086</v>
      </c>
    </row>
    <row r="8" spans="1:12" ht="27.95" customHeight="1" x14ac:dyDescent="0.25">
      <c r="B8" s="5" t="s">
        <v>16</v>
      </c>
      <c r="C8" s="5">
        <v>11358</v>
      </c>
      <c r="D8" s="5">
        <v>13194</v>
      </c>
      <c r="E8" s="5">
        <v>17422</v>
      </c>
      <c r="F8" s="5">
        <v>17738</v>
      </c>
      <c r="G8" s="5">
        <v>17310</v>
      </c>
      <c r="H8" s="5">
        <v>17218</v>
      </c>
      <c r="I8" s="5">
        <v>16427</v>
      </c>
      <c r="J8" s="5">
        <v>15262</v>
      </c>
      <c r="K8" s="5">
        <v>12654</v>
      </c>
      <c r="L8" s="5">
        <v>10307</v>
      </c>
    </row>
    <row r="9" spans="1:12" ht="27.95" customHeight="1" x14ac:dyDescent="0.25">
      <c r="B9" s="5" t="s">
        <v>17</v>
      </c>
      <c r="C9" s="5">
        <v>313</v>
      </c>
      <c r="D9" s="5">
        <v>819</v>
      </c>
      <c r="E9" s="5">
        <v>732</v>
      </c>
      <c r="F9" s="5">
        <v>447</v>
      </c>
      <c r="G9" s="5">
        <v>895</v>
      </c>
      <c r="H9" s="5">
        <v>1183</v>
      </c>
      <c r="I9" s="5">
        <v>1657</v>
      </c>
      <c r="J9" s="5">
        <v>1510</v>
      </c>
      <c r="K9" s="5">
        <v>1902</v>
      </c>
      <c r="L9" s="5">
        <v>1079</v>
      </c>
    </row>
    <row r="10" spans="1:12" ht="27.95" customHeight="1" x14ac:dyDescent="0.25">
      <c r="B10" s="6" t="s">
        <v>18</v>
      </c>
      <c r="C10" s="6">
        <v>8231</v>
      </c>
      <c r="D10" s="6">
        <v>8413</v>
      </c>
      <c r="E10" s="6">
        <v>10173</v>
      </c>
      <c r="F10" s="6">
        <v>10779</v>
      </c>
      <c r="G10" s="6">
        <v>10228</v>
      </c>
      <c r="H10" s="6">
        <v>9708</v>
      </c>
      <c r="I10" s="6">
        <v>8728</v>
      </c>
      <c r="J10" s="6">
        <v>8626</v>
      </c>
      <c r="K10" s="6">
        <v>7599</v>
      </c>
      <c r="L10" s="6">
        <v>8700</v>
      </c>
    </row>
    <row r="11" spans="1:12" ht="27.95" customHeight="1" x14ac:dyDescent="0.25">
      <c r="B11" s="5" t="s">
        <v>19</v>
      </c>
      <c r="C11" s="5">
        <v>249</v>
      </c>
      <c r="D11" s="5">
        <v>317</v>
      </c>
      <c r="E11" s="5">
        <v>483</v>
      </c>
      <c r="F11" s="5">
        <v>471</v>
      </c>
      <c r="G11" s="5">
        <v>534</v>
      </c>
      <c r="H11" s="5">
        <v>594</v>
      </c>
      <c r="I11" s="5">
        <v>613</v>
      </c>
      <c r="J11" s="5">
        <v>642</v>
      </c>
      <c r="K11" s="5">
        <v>677</v>
      </c>
      <c r="L11" s="5">
        <v>682</v>
      </c>
    </row>
    <row r="12" spans="1:12" ht="27.95" customHeight="1" x14ac:dyDescent="0.25">
      <c r="B12" s="5" t="s">
        <v>20</v>
      </c>
      <c r="C12" s="5">
        <v>355</v>
      </c>
      <c r="D12" s="5">
        <v>733</v>
      </c>
      <c r="E12" s="5">
        <v>417</v>
      </c>
      <c r="F12" s="5">
        <v>397</v>
      </c>
      <c r="G12" s="5">
        <v>463</v>
      </c>
      <c r="H12" s="5">
        <v>483</v>
      </c>
      <c r="I12" s="5">
        <v>856</v>
      </c>
      <c r="J12" s="5">
        <v>733</v>
      </c>
      <c r="K12" s="5">
        <v>841</v>
      </c>
      <c r="L12" s="5">
        <v>919</v>
      </c>
    </row>
    <row r="13" spans="1:12" ht="27.95" customHeight="1" x14ac:dyDescent="0.25">
      <c r="B13" s="5" t="s">
        <v>21</v>
      </c>
      <c r="C13" s="5">
        <v>781</v>
      </c>
      <c r="D13" s="5">
        <v>1025</v>
      </c>
      <c r="E13" s="5">
        <v>690</v>
      </c>
      <c r="F13" s="5">
        <v>819</v>
      </c>
      <c r="G13" s="5">
        <v>602</v>
      </c>
      <c r="H13" s="5">
        <v>769</v>
      </c>
      <c r="I13" s="5">
        <v>489</v>
      </c>
      <c r="J13" s="5">
        <v>835</v>
      </c>
      <c r="K13" s="5">
        <v>1071</v>
      </c>
      <c r="L13" s="5">
        <v>1008</v>
      </c>
    </row>
    <row r="14" spans="1:12" ht="27.95" customHeight="1" x14ac:dyDescent="0.25">
      <c r="B14" s="5" t="s">
        <v>22</v>
      </c>
      <c r="C14" s="5">
        <v>40</v>
      </c>
      <c r="D14" s="5">
        <v>5185</v>
      </c>
      <c r="E14" s="5">
        <v>529</v>
      </c>
      <c r="F14" s="5">
        <v>137</v>
      </c>
      <c r="G14" s="5">
        <v>576</v>
      </c>
      <c r="H14" s="5">
        <v>-1263</v>
      </c>
      <c r="I14" s="5">
        <v>631</v>
      </c>
      <c r="J14" s="5">
        <v>-1234</v>
      </c>
      <c r="K14" s="5">
        <v>-1764</v>
      </c>
      <c r="L14" s="5">
        <v>-1121</v>
      </c>
    </row>
    <row r="15" spans="1:12" ht="27.95" customHeight="1" x14ac:dyDescent="0.25">
      <c r="B15" s="6" t="s">
        <v>23</v>
      </c>
      <c r="C15" s="6">
        <v>8946</v>
      </c>
      <c r="D15" s="6">
        <v>14207</v>
      </c>
      <c r="E15" s="6">
        <v>11458</v>
      </c>
      <c r="F15" s="6">
        <v>11809</v>
      </c>
      <c r="G15" s="6">
        <v>11477</v>
      </c>
      <c r="H15" s="6">
        <v>9325</v>
      </c>
      <c r="I15" s="6">
        <v>9605</v>
      </c>
      <c r="J15" s="6">
        <v>8136</v>
      </c>
      <c r="K15" s="6">
        <v>6742</v>
      </c>
      <c r="L15" s="6">
        <v>8350</v>
      </c>
    </row>
    <row r="16" spans="1:12" ht="27.95" customHeight="1" x14ac:dyDescent="0.25">
      <c r="B16" s="5" t="s">
        <v>24</v>
      </c>
      <c r="C16" s="5">
        <v>2040</v>
      </c>
      <c r="D16" s="5">
        <v>2370</v>
      </c>
      <c r="E16" s="5">
        <v>2812</v>
      </c>
      <c r="F16" s="5">
        <v>2723</v>
      </c>
      <c r="G16" s="5">
        <v>2851</v>
      </c>
      <c r="H16" s="5">
        <v>2201</v>
      </c>
      <c r="I16" s="5">
        <v>2239</v>
      </c>
      <c r="J16" s="5">
        <v>1586</v>
      </c>
      <c r="K16" s="5">
        <v>5560</v>
      </c>
      <c r="L16" s="5">
        <v>1623</v>
      </c>
    </row>
    <row r="17" spans="1:12" ht="27.95" customHeight="1" x14ac:dyDescent="0.25">
      <c r="B17" s="6" t="s">
        <v>25</v>
      </c>
      <c r="C17" s="6">
        <v>6906</v>
      </c>
      <c r="D17" s="6">
        <v>11837</v>
      </c>
      <c r="E17" s="6">
        <v>8646</v>
      </c>
      <c r="F17" s="6">
        <v>9086</v>
      </c>
      <c r="G17" s="6">
        <v>8626</v>
      </c>
      <c r="H17" s="6">
        <v>7124</v>
      </c>
      <c r="I17" s="6">
        <v>7366</v>
      </c>
      <c r="J17" s="6">
        <v>6550</v>
      </c>
      <c r="K17" s="6">
        <v>1283</v>
      </c>
      <c r="L17" s="6">
        <v>6476</v>
      </c>
    </row>
    <row r="18" spans="1:12" ht="27.95" customHeight="1" x14ac:dyDescent="0.25">
      <c r="B18" s="5" t="s">
        <v>26</v>
      </c>
      <c r="C18" s="5">
        <v>82</v>
      </c>
      <c r="D18" s="5">
        <v>50</v>
      </c>
      <c r="E18" s="5">
        <v>62</v>
      </c>
      <c r="F18" s="5">
        <v>67</v>
      </c>
      <c r="G18" s="5">
        <v>42</v>
      </c>
      <c r="H18" s="5">
        <v>26</v>
      </c>
      <c r="I18" s="5">
        <v>15</v>
      </c>
      <c r="J18" s="5">
        <v>23</v>
      </c>
      <c r="K18" s="5">
        <v>35</v>
      </c>
      <c r="L18" s="5">
        <v>42</v>
      </c>
    </row>
    <row r="19" spans="1:12" ht="27.95" customHeight="1" x14ac:dyDescent="0.25">
      <c r="B19" s="5" t="s">
        <v>27</v>
      </c>
      <c r="C19" s="5"/>
      <c r="D19" s="5"/>
      <c r="E19" s="5"/>
      <c r="F19" s="5"/>
      <c r="G19" s="5"/>
      <c r="H19" s="5"/>
      <c r="I19" s="5">
        <v>7366</v>
      </c>
      <c r="J19" s="5">
        <v>6550</v>
      </c>
      <c r="K19" s="5">
        <v>1182</v>
      </c>
      <c r="L19" s="5">
        <v>6727</v>
      </c>
    </row>
    <row r="20" spans="1:12" ht="27.95" customHeight="1" x14ac:dyDescent="0.25">
      <c r="B20" s="5" t="s">
        <v>28</v>
      </c>
      <c r="C20" s="5"/>
      <c r="D20" s="5"/>
      <c r="E20" s="5"/>
      <c r="F20" s="5"/>
      <c r="G20" s="5"/>
      <c r="H20" s="5"/>
      <c r="I20" s="5">
        <v>0</v>
      </c>
      <c r="J20" s="5">
        <v>0</v>
      </c>
      <c r="K20" s="5">
        <v>101</v>
      </c>
      <c r="L20" s="5">
        <v>-251</v>
      </c>
    </row>
    <row r="21" spans="1:12" ht="27.95" customHeight="1" x14ac:dyDescent="0.25">
      <c r="B21" s="6" t="s">
        <v>29</v>
      </c>
      <c r="C21" s="6">
        <v>6824</v>
      </c>
      <c r="D21" s="6">
        <v>11787</v>
      </c>
      <c r="E21" s="6">
        <v>8584</v>
      </c>
      <c r="F21" s="6">
        <v>9019</v>
      </c>
      <c r="G21" s="6">
        <v>8584</v>
      </c>
      <c r="H21" s="6">
        <v>7098</v>
      </c>
      <c r="I21" s="6">
        <v>7351</v>
      </c>
      <c r="J21" s="6">
        <v>6527</v>
      </c>
      <c r="K21" s="6">
        <v>1248</v>
      </c>
      <c r="L21" s="6">
        <v>6434</v>
      </c>
    </row>
    <row r="22" spans="1:12" ht="27.95" customHeight="1" x14ac:dyDescent="0.25">
      <c r="A22" t="s">
        <v>30</v>
      </c>
      <c r="B22" s="8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7.95" customHeight="1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27.95" customHeight="1" x14ac:dyDescent="0.25">
      <c r="B24" s="11" t="s">
        <v>2</v>
      </c>
      <c r="C24" s="12" t="s">
        <v>3</v>
      </c>
      <c r="D24" s="12" t="s">
        <v>4</v>
      </c>
      <c r="E24" s="12" t="s">
        <v>5</v>
      </c>
      <c r="F24" s="12" t="s">
        <v>6</v>
      </c>
      <c r="G24" s="12" t="s">
        <v>7</v>
      </c>
      <c r="H24" s="12" t="s">
        <v>8</v>
      </c>
      <c r="I24" s="12" t="s">
        <v>9</v>
      </c>
      <c r="J24" s="12" t="s">
        <v>10</v>
      </c>
      <c r="K24" s="12" t="s">
        <v>11</v>
      </c>
      <c r="L24" s="12" t="s">
        <v>12</v>
      </c>
    </row>
    <row r="25" spans="1:12" ht="27.95" customHeight="1" x14ac:dyDescent="0.25">
      <c r="B25" s="5" t="s">
        <v>31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27.95" customHeight="1" x14ac:dyDescent="0.25">
      <c r="B26" s="5" t="s">
        <v>32</v>
      </c>
      <c r="C26" s="5">
        <v>7021</v>
      </c>
      <c r="D26" s="5">
        <v>8517</v>
      </c>
      <c r="E26" s="5">
        <v>12803</v>
      </c>
      <c r="F26" s="5">
        <v>8442</v>
      </c>
      <c r="G26" s="5">
        <v>10414</v>
      </c>
      <c r="H26" s="5">
        <v>8958</v>
      </c>
      <c r="I26" s="5">
        <v>7309</v>
      </c>
      <c r="J26" s="5">
        <v>8555</v>
      </c>
      <c r="K26" s="5">
        <v>6006</v>
      </c>
      <c r="L26" s="5">
        <v>8926</v>
      </c>
    </row>
    <row r="27" spans="1:12" ht="27.95" customHeight="1" x14ac:dyDescent="0.25">
      <c r="B27" s="5" t="s">
        <v>33</v>
      </c>
      <c r="C27" s="5">
        <v>2130</v>
      </c>
      <c r="D27" s="5">
        <v>2682</v>
      </c>
      <c r="E27" s="5">
        <v>1088</v>
      </c>
      <c r="F27" s="5">
        <v>5017</v>
      </c>
      <c r="G27" s="5">
        <v>6707</v>
      </c>
      <c r="H27" s="5">
        <v>9052</v>
      </c>
      <c r="I27" s="5">
        <v>8322</v>
      </c>
      <c r="J27" s="5">
        <v>9595</v>
      </c>
      <c r="K27" s="5">
        <v>9352</v>
      </c>
      <c r="L27" s="5">
        <v>2025</v>
      </c>
    </row>
    <row r="28" spans="1:12" ht="27.95" customHeight="1" x14ac:dyDescent="0.25">
      <c r="B28" s="6" t="s">
        <v>34</v>
      </c>
      <c r="C28" s="6">
        <v>9151</v>
      </c>
      <c r="D28" s="6">
        <v>11199</v>
      </c>
      <c r="E28" s="6">
        <v>13891</v>
      </c>
      <c r="F28" s="6">
        <v>13459</v>
      </c>
      <c r="G28" s="6">
        <v>17121</v>
      </c>
      <c r="H28" s="6">
        <v>18010</v>
      </c>
      <c r="I28" s="6">
        <v>15631</v>
      </c>
      <c r="J28" s="6">
        <v>18150</v>
      </c>
      <c r="K28" s="6">
        <v>15358</v>
      </c>
      <c r="L28" s="6">
        <v>10951</v>
      </c>
    </row>
    <row r="29" spans="1:12" ht="27.95" customHeight="1" x14ac:dyDescent="0.25">
      <c r="B29" s="5" t="s">
        <v>35</v>
      </c>
      <c r="C29" s="5">
        <v>62</v>
      </c>
      <c r="D29" s="5">
        <v>138</v>
      </c>
      <c r="E29" s="5">
        <v>144</v>
      </c>
      <c r="F29" s="5">
        <v>3092</v>
      </c>
      <c r="G29" s="5">
        <v>3147</v>
      </c>
      <c r="H29" s="5">
        <v>3665</v>
      </c>
      <c r="I29" s="5">
        <v>4269</v>
      </c>
      <c r="J29" s="5">
        <v>4051</v>
      </c>
      <c r="K29" s="5">
        <v>5317</v>
      </c>
      <c r="L29" s="5">
        <v>5013</v>
      </c>
    </row>
    <row r="30" spans="1:12" ht="27.95" customHeight="1" x14ac:dyDescent="0.25">
      <c r="B30" s="5" t="s">
        <v>36</v>
      </c>
      <c r="C30" s="5">
        <v>3758</v>
      </c>
      <c r="D30" s="5">
        <v>4430</v>
      </c>
      <c r="E30" s="5">
        <v>4920</v>
      </c>
      <c r="F30" s="5">
        <v>4759</v>
      </c>
      <c r="G30" s="5">
        <v>4873</v>
      </c>
      <c r="H30" s="5">
        <v>4466</v>
      </c>
      <c r="I30" s="5">
        <v>3941</v>
      </c>
      <c r="J30" s="5">
        <v>3856</v>
      </c>
      <c r="K30" s="5">
        <v>3667</v>
      </c>
      <c r="L30" s="5">
        <v>3396</v>
      </c>
    </row>
    <row r="31" spans="1:12" ht="27.95" customHeight="1" x14ac:dyDescent="0.25">
      <c r="B31" s="5" t="s">
        <v>37</v>
      </c>
      <c r="C31" s="5">
        <v>2354</v>
      </c>
      <c r="D31" s="5">
        <v>2650</v>
      </c>
      <c r="E31" s="5">
        <v>3092</v>
      </c>
      <c r="F31" s="5">
        <v>3264</v>
      </c>
      <c r="G31" s="5">
        <v>3277</v>
      </c>
      <c r="H31" s="5">
        <v>3100</v>
      </c>
      <c r="I31" s="5">
        <v>2902</v>
      </c>
      <c r="J31" s="5">
        <v>2675</v>
      </c>
      <c r="K31" s="5">
        <v>2655</v>
      </c>
      <c r="L31" s="5">
        <v>2766</v>
      </c>
    </row>
    <row r="32" spans="1:12" ht="27.95" customHeight="1" x14ac:dyDescent="0.25">
      <c r="B32" s="5" t="s">
        <v>38</v>
      </c>
      <c r="C32" s="5">
        <v>2226</v>
      </c>
      <c r="D32" s="5">
        <v>3162</v>
      </c>
      <c r="E32" s="5">
        <v>3450</v>
      </c>
      <c r="F32" s="5">
        <v>2781</v>
      </c>
      <c r="G32" s="5">
        <v>2886</v>
      </c>
      <c r="H32" s="5">
        <v>3066</v>
      </c>
      <c r="I32" s="5">
        <v>2752</v>
      </c>
      <c r="J32" s="5">
        <v>2481</v>
      </c>
      <c r="K32" s="5">
        <v>2000</v>
      </c>
      <c r="L32" s="5">
        <v>1962</v>
      </c>
    </row>
    <row r="33" spans="2:12" ht="27.95" customHeight="1" x14ac:dyDescent="0.25">
      <c r="B33" s="5" t="s">
        <v>39</v>
      </c>
      <c r="C33" s="5"/>
      <c r="D33" s="5"/>
      <c r="E33" s="5">
        <v>0</v>
      </c>
      <c r="F33" s="5">
        <v>2973</v>
      </c>
      <c r="G33" s="5">
        <v>0</v>
      </c>
      <c r="H33" s="5">
        <v>679</v>
      </c>
      <c r="I33" s="5">
        <v>3900</v>
      </c>
      <c r="J33" s="5">
        <v>0</v>
      </c>
      <c r="K33" s="5">
        <v>7329</v>
      </c>
      <c r="L33" s="5">
        <v>6546</v>
      </c>
    </row>
    <row r="34" spans="2:12" ht="27.95" customHeight="1" x14ac:dyDescent="0.25">
      <c r="B34" s="5" t="s">
        <v>39</v>
      </c>
      <c r="C34" s="5"/>
      <c r="D34" s="5"/>
      <c r="E34" s="5"/>
      <c r="F34" s="5"/>
      <c r="G34" s="5"/>
      <c r="H34" s="5"/>
      <c r="I34" s="5"/>
      <c r="J34" s="5">
        <v>2797</v>
      </c>
      <c r="K34" s="5">
        <v>219</v>
      </c>
      <c r="L34" s="5">
        <v>0</v>
      </c>
    </row>
    <row r="35" spans="2:12" ht="27.95" customHeight="1" x14ac:dyDescent="0.25">
      <c r="B35" s="6" t="s">
        <v>40</v>
      </c>
      <c r="C35" s="6">
        <v>17551</v>
      </c>
      <c r="D35" s="6">
        <v>21579</v>
      </c>
      <c r="E35" s="6">
        <v>25497</v>
      </c>
      <c r="F35" s="6">
        <v>30328</v>
      </c>
      <c r="G35" s="6">
        <v>31304</v>
      </c>
      <c r="H35" s="6">
        <v>32986</v>
      </c>
      <c r="I35" s="6">
        <v>33395</v>
      </c>
      <c r="J35" s="6">
        <v>34010</v>
      </c>
      <c r="K35" s="6">
        <v>36545</v>
      </c>
      <c r="L35" s="6">
        <v>30634</v>
      </c>
    </row>
    <row r="36" spans="2:12" ht="27.95" customHeight="1" x14ac:dyDescent="0.25">
      <c r="B36" s="5" t="s">
        <v>41</v>
      </c>
      <c r="C36" s="5">
        <v>6217</v>
      </c>
      <c r="D36" s="5">
        <v>6954</v>
      </c>
      <c r="E36" s="5">
        <v>7233</v>
      </c>
      <c r="F36" s="5">
        <v>9216</v>
      </c>
      <c r="G36" s="5">
        <v>10393</v>
      </c>
      <c r="H36" s="5">
        <v>9947</v>
      </c>
      <c r="I36" s="5">
        <v>12318</v>
      </c>
      <c r="J36" s="5">
        <v>16260</v>
      </c>
      <c r="K36" s="5">
        <v>20856</v>
      </c>
      <c r="L36" s="5">
        <v>19407</v>
      </c>
    </row>
    <row r="37" spans="2:12" ht="27.95" customHeight="1" x14ac:dyDescent="0.25">
      <c r="B37" s="5" t="s">
        <v>42</v>
      </c>
      <c r="C37" s="5">
        <v>538</v>
      </c>
      <c r="D37" s="5">
        <v>631</v>
      </c>
      <c r="E37" s="5">
        <v>1141</v>
      </c>
      <c r="F37" s="5">
        <v>1232</v>
      </c>
      <c r="G37" s="5">
        <v>1119</v>
      </c>
      <c r="H37" s="5">
        <v>3678</v>
      </c>
      <c r="I37" s="5">
        <v>3470</v>
      </c>
      <c r="J37" s="5">
        <v>989</v>
      </c>
      <c r="K37" s="5">
        <v>1096</v>
      </c>
      <c r="L37" s="5">
        <v>867</v>
      </c>
    </row>
    <row r="38" spans="2:12" ht="27.95" customHeight="1" x14ac:dyDescent="0.25">
      <c r="B38" s="5" t="s">
        <v>43</v>
      </c>
      <c r="C38" s="5">
        <v>1976</v>
      </c>
      <c r="D38" s="5">
        <v>2121</v>
      </c>
      <c r="E38" s="5">
        <v>3495</v>
      </c>
      <c r="F38" s="5">
        <v>3585</v>
      </c>
      <c r="G38" s="5">
        <v>4661</v>
      </c>
      <c r="H38" s="5">
        <v>4407</v>
      </c>
      <c r="I38" s="5">
        <v>4110</v>
      </c>
      <c r="J38" s="5">
        <v>4248</v>
      </c>
      <c r="K38" s="5">
        <v>4230</v>
      </c>
      <c r="L38" s="5">
        <v>4139</v>
      </c>
    </row>
    <row r="39" spans="2:12" ht="27.95" customHeight="1" x14ac:dyDescent="0.25">
      <c r="B39" s="5" t="s">
        <v>44</v>
      </c>
      <c r="C39" s="5">
        <v>9561</v>
      </c>
      <c r="D39" s="5">
        <v>14727</v>
      </c>
      <c r="E39" s="5">
        <v>14939</v>
      </c>
      <c r="F39" s="5">
        <v>14476</v>
      </c>
      <c r="G39" s="5">
        <v>14967</v>
      </c>
      <c r="H39" s="5">
        <v>14633</v>
      </c>
      <c r="I39" s="5">
        <v>12571</v>
      </c>
      <c r="J39" s="5">
        <v>10635</v>
      </c>
      <c r="K39" s="5">
        <v>8203</v>
      </c>
      <c r="L39" s="5">
        <v>8232</v>
      </c>
    </row>
    <row r="40" spans="2:12" ht="27.95" customHeight="1" x14ac:dyDescent="0.25">
      <c r="B40" s="5" t="s">
        <v>45</v>
      </c>
      <c r="C40" s="5"/>
      <c r="D40" s="5"/>
      <c r="E40" s="5"/>
      <c r="F40" s="5"/>
      <c r="G40" s="5"/>
      <c r="H40" s="5"/>
      <c r="I40" s="5"/>
      <c r="J40" s="5"/>
      <c r="K40" s="5">
        <v>330</v>
      </c>
      <c r="L40" s="5">
        <v>2667</v>
      </c>
    </row>
    <row r="41" spans="2:12" ht="27.95" customHeight="1" x14ac:dyDescent="0.25">
      <c r="B41" s="5" t="s">
        <v>46</v>
      </c>
      <c r="C41" s="5">
        <v>6183</v>
      </c>
      <c r="D41" s="5">
        <v>6356</v>
      </c>
      <c r="E41" s="5">
        <v>6430</v>
      </c>
      <c r="F41" s="5">
        <v>6527</v>
      </c>
      <c r="G41" s="5">
        <v>6744</v>
      </c>
      <c r="H41" s="5">
        <v>6533</v>
      </c>
      <c r="I41" s="5">
        <v>5989</v>
      </c>
      <c r="J41" s="5">
        <v>6097</v>
      </c>
      <c r="K41" s="5">
        <v>6729</v>
      </c>
      <c r="L41" s="5">
        <v>6682</v>
      </c>
    </row>
    <row r="42" spans="2:12" ht="27.95" customHeight="1" x14ac:dyDescent="0.25">
      <c r="B42" s="5" t="s">
        <v>47</v>
      </c>
      <c r="C42" s="5">
        <v>1953</v>
      </c>
      <c r="D42" s="5">
        <v>7511</v>
      </c>
      <c r="E42" s="5">
        <v>7770</v>
      </c>
      <c r="F42" s="5">
        <v>7405</v>
      </c>
      <c r="G42" s="5">
        <v>7415</v>
      </c>
      <c r="H42" s="5">
        <v>6689</v>
      </c>
      <c r="I42" s="5">
        <v>6000</v>
      </c>
      <c r="J42" s="5">
        <v>3676</v>
      </c>
      <c r="K42" s="5">
        <v>138</v>
      </c>
      <c r="L42" s="5">
        <v>51</v>
      </c>
    </row>
    <row r="43" spans="2:12" ht="27.95" customHeight="1" x14ac:dyDescent="0.25">
      <c r="B43" s="5" t="s">
        <v>48</v>
      </c>
      <c r="C43" s="5">
        <v>4224</v>
      </c>
      <c r="D43" s="5">
        <v>11665</v>
      </c>
      <c r="E43" s="5">
        <v>12219</v>
      </c>
      <c r="F43" s="5">
        <v>12255</v>
      </c>
      <c r="G43" s="5">
        <v>12312</v>
      </c>
      <c r="H43" s="5">
        <v>12100</v>
      </c>
      <c r="I43" s="5">
        <v>11289</v>
      </c>
      <c r="J43" s="5">
        <v>10629</v>
      </c>
      <c r="K43" s="5">
        <v>9401</v>
      </c>
      <c r="L43" s="5">
        <v>10263</v>
      </c>
    </row>
    <row r="44" spans="2:12" ht="27.95" customHeight="1" x14ac:dyDescent="0.25">
      <c r="B44" s="5" t="s">
        <v>49</v>
      </c>
      <c r="C44" s="5">
        <v>468</v>
      </c>
      <c r="D44" s="5">
        <v>1377</v>
      </c>
      <c r="E44" s="5">
        <v>1250</v>
      </c>
      <c r="F44" s="5">
        <v>1150</v>
      </c>
      <c r="G44" s="5">
        <v>1140</v>
      </c>
      <c r="H44" s="5">
        <v>1050</v>
      </c>
      <c r="I44" s="5">
        <v>854</v>
      </c>
      <c r="J44" s="5">
        <v>726</v>
      </c>
      <c r="K44" s="5">
        <v>368</v>
      </c>
      <c r="L44" s="5">
        <v>274</v>
      </c>
    </row>
    <row r="45" spans="2:12" ht="27.95" customHeight="1" x14ac:dyDescent="0.25">
      <c r="B45" s="6" t="s">
        <v>50</v>
      </c>
      <c r="C45" s="6">
        <v>48671</v>
      </c>
      <c r="D45" s="6">
        <v>72921</v>
      </c>
      <c r="E45" s="6">
        <v>79974</v>
      </c>
      <c r="F45" s="6">
        <v>86174</v>
      </c>
      <c r="G45" s="6">
        <v>90055</v>
      </c>
      <c r="H45" s="6">
        <v>92023</v>
      </c>
      <c r="I45" s="6">
        <v>89996</v>
      </c>
      <c r="J45" s="6">
        <v>87270</v>
      </c>
      <c r="K45" s="6">
        <v>87896</v>
      </c>
      <c r="L45" s="6">
        <v>83216</v>
      </c>
    </row>
    <row r="46" spans="2:12" ht="27.95" customHeight="1" x14ac:dyDescent="0.25">
      <c r="B46" s="9" t="s">
        <v>51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ht="27.95" customHeight="1" x14ac:dyDescent="0.25">
      <c r="B47" s="5" t="s">
        <v>52</v>
      </c>
      <c r="C47" s="5">
        <v>6657</v>
      </c>
      <c r="D47" s="5">
        <v>8859</v>
      </c>
      <c r="E47" s="5">
        <v>9009</v>
      </c>
      <c r="F47" s="5">
        <v>8680</v>
      </c>
      <c r="G47" s="5">
        <v>9577</v>
      </c>
      <c r="H47" s="5">
        <v>9234</v>
      </c>
      <c r="I47" s="5">
        <v>9660</v>
      </c>
      <c r="J47" s="5">
        <v>9490</v>
      </c>
      <c r="K47" s="5">
        <v>8748</v>
      </c>
      <c r="L47" s="5">
        <v>8932</v>
      </c>
    </row>
    <row r="48" spans="2:12" ht="27.95" customHeight="1" x14ac:dyDescent="0.25">
      <c r="B48" s="5" t="s">
        <v>53</v>
      </c>
      <c r="C48" s="5">
        <v>6749</v>
      </c>
      <c r="D48" s="5">
        <v>8100</v>
      </c>
      <c r="E48" s="5">
        <v>12871</v>
      </c>
      <c r="F48" s="5">
        <v>16297</v>
      </c>
      <c r="G48" s="5">
        <v>16901</v>
      </c>
      <c r="H48" s="5">
        <v>19130</v>
      </c>
      <c r="I48" s="5">
        <v>13129</v>
      </c>
      <c r="J48" s="5">
        <v>12498</v>
      </c>
      <c r="K48" s="5">
        <v>13205</v>
      </c>
      <c r="L48" s="5">
        <v>13194</v>
      </c>
    </row>
    <row r="49" spans="2:12" ht="27.95" customHeight="1" x14ac:dyDescent="0.25">
      <c r="B49" s="5" t="s">
        <v>54</v>
      </c>
      <c r="C49" s="5">
        <v>51</v>
      </c>
      <c r="D49" s="5">
        <v>1276</v>
      </c>
      <c r="E49" s="5">
        <v>2041</v>
      </c>
      <c r="F49" s="5">
        <v>1577</v>
      </c>
      <c r="G49" s="5">
        <v>1024</v>
      </c>
      <c r="H49" s="5">
        <v>3552</v>
      </c>
      <c r="I49" s="5">
        <v>2676</v>
      </c>
      <c r="J49" s="5">
        <v>3527</v>
      </c>
      <c r="K49" s="5">
        <v>3298</v>
      </c>
      <c r="L49" s="5">
        <v>4997</v>
      </c>
    </row>
    <row r="50" spans="2:12" ht="27.95" customHeight="1" x14ac:dyDescent="0.25">
      <c r="B50" s="5" t="s">
        <v>55</v>
      </c>
      <c r="C50" s="5">
        <v>264</v>
      </c>
      <c r="D50" s="5">
        <v>273</v>
      </c>
      <c r="E50" s="5">
        <v>362</v>
      </c>
      <c r="F50" s="5">
        <v>471</v>
      </c>
      <c r="G50" s="5">
        <v>309</v>
      </c>
      <c r="H50" s="5">
        <v>400</v>
      </c>
      <c r="I50" s="5">
        <v>331</v>
      </c>
      <c r="J50" s="5">
        <v>307</v>
      </c>
      <c r="K50" s="5">
        <v>410</v>
      </c>
      <c r="L50" s="5">
        <v>378</v>
      </c>
    </row>
    <row r="51" spans="2:12" ht="27.95" customHeight="1" x14ac:dyDescent="0.25">
      <c r="B51" s="5" t="s">
        <v>56</v>
      </c>
      <c r="C51" s="5"/>
      <c r="D51" s="5"/>
      <c r="E51" s="5">
        <v>0</v>
      </c>
      <c r="F51" s="5">
        <v>796</v>
      </c>
      <c r="G51" s="5">
        <v>0</v>
      </c>
      <c r="H51" s="5">
        <v>58</v>
      </c>
      <c r="I51" s="5">
        <v>1133</v>
      </c>
      <c r="J51" s="5">
        <v>710</v>
      </c>
      <c r="K51" s="5">
        <v>37</v>
      </c>
      <c r="L51" s="5">
        <v>0</v>
      </c>
    </row>
    <row r="52" spans="2:12" ht="27.95" customHeight="1" x14ac:dyDescent="0.25">
      <c r="B52" s="5" t="s">
        <v>57</v>
      </c>
      <c r="C52" s="5"/>
      <c r="D52" s="5"/>
      <c r="E52" s="5"/>
      <c r="F52" s="5"/>
      <c r="G52" s="5"/>
      <c r="H52" s="5"/>
      <c r="I52" s="5"/>
      <c r="J52" s="5">
        <v>0</v>
      </c>
      <c r="K52" s="5">
        <v>1496</v>
      </c>
      <c r="L52" s="5">
        <v>1722</v>
      </c>
    </row>
    <row r="53" spans="2:12" ht="27.95" customHeight="1" x14ac:dyDescent="0.25">
      <c r="B53" s="6" t="s">
        <v>58</v>
      </c>
      <c r="C53" s="6">
        <v>13721</v>
      </c>
      <c r="D53" s="6">
        <v>18508</v>
      </c>
      <c r="E53" s="6">
        <v>24283</v>
      </c>
      <c r="F53" s="6">
        <v>27821</v>
      </c>
      <c r="G53" s="6">
        <v>27811</v>
      </c>
      <c r="H53" s="6">
        <v>32374</v>
      </c>
      <c r="I53" s="6">
        <v>26929</v>
      </c>
      <c r="J53" s="6">
        <v>26532</v>
      </c>
      <c r="K53" s="6">
        <v>27194</v>
      </c>
      <c r="L53" s="6">
        <v>29223</v>
      </c>
    </row>
    <row r="54" spans="2:12" ht="27.95" customHeight="1" x14ac:dyDescent="0.25">
      <c r="B54" s="5" t="s">
        <v>59</v>
      </c>
      <c r="C54" s="5">
        <v>5059</v>
      </c>
      <c r="D54" s="5">
        <v>14041</v>
      </c>
      <c r="E54" s="5">
        <v>13656</v>
      </c>
      <c r="F54" s="5">
        <v>14736</v>
      </c>
      <c r="G54" s="5">
        <v>19154</v>
      </c>
      <c r="H54" s="5">
        <v>19063</v>
      </c>
      <c r="I54" s="5">
        <v>28311</v>
      </c>
      <c r="J54" s="5">
        <v>29684</v>
      </c>
      <c r="K54" s="5">
        <v>31182</v>
      </c>
      <c r="L54" s="5">
        <v>25364</v>
      </c>
    </row>
    <row r="55" spans="2:12" ht="27.95" customHeight="1" x14ac:dyDescent="0.25">
      <c r="B55" s="5" t="s">
        <v>60</v>
      </c>
      <c r="C55" s="5">
        <v>2965</v>
      </c>
      <c r="D55" s="5">
        <v>4794</v>
      </c>
      <c r="E55" s="5">
        <v>5420</v>
      </c>
      <c r="F55" s="5">
        <v>5468</v>
      </c>
      <c r="G55" s="5">
        <v>3498</v>
      </c>
      <c r="H55" s="5">
        <v>4389</v>
      </c>
      <c r="I55" s="5">
        <v>4301</v>
      </c>
      <c r="J55" s="5">
        <v>4081</v>
      </c>
      <c r="K55" s="5">
        <v>8021</v>
      </c>
      <c r="L55" s="5">
        <v>7638</v>
      </c>
    </row>
    <row r="56" spans="2:12" ht="27.95" customHeight="1" x14ac:dyDescent="0.25">
      <c r="B56" s="5" t="s">
        <v>61</v>
      </c>
      <c r="C56" s="5">
        <v>1580</v>
      </c>
      <c r="D56" s="5">
        <v>4261</v>
      </c>
      <c r="E56" s="5">
        <v>4694</v>
      </c>
      <c r="F56" s="5">
        <v>4981</v>
      </c>
      <c r="G56" s="5">
        <v>6152</v>
      </c>
      <c r="H56" s="5">
        <v>5636</v>
      </c>
      <c r="I56" s="5">
        <v>4691</v>
      </c>
      <c r="J56" s="5">
        <v>3753</v>
      </c>
      <c r="K56" s="5">
        <v>2522</v>
      </c>
      <c r="L56" s="5">
        <v>1933</v>
      </c>
    </row>
    <row r="57" spans="2:12" ht="27.95" customHeight="1" x14ac:dyDescent="0.25">
      <c r="B57" s="5" t="s">
        <v>62</v>
      </c>
      <c r="C57" s="5">
        <v>880</v>
      </c>
      <c r="D57" s="5">
        <v>880</v>
      </c>
      <c r="E57" s="5">
        <v>1760</v>
      </c>
      <c r="F57" s="5">
        <v>1760</v>
      </c>
      <c r="G57" s="5">
        <v>1760</v>
      </c>
      <c r="H57" s="5">
        <v>1760</v>
      </c>
      <c r="I57" s="5">
        <v>1760</v>
      </c>
      <c r="J57" s="5">
        <v>1760</v>
      </c>
      <c r="K57" s="5">
        <v>1760</v>
      </c>
      <c r="L57" s="5">
        <v>1760</v>
      </c>
    </row>
    <row r="58" spans="2:12" ht="27.95" customHeight="1" x14ac:dyDescent="0.25">
      <c r="B58" s="5" t="s">
        <v>63</v>
      </c>
      <c r="C58" s="5">
        <v>8537</v>
      </c>
      <c r="D58" s="5">
        <v>10057</v>
      </c>
      <c r="E58" s="5">
        <v>10332</v>
      </c>
      <c r="F58" s="5">
        <v>11379</v>
      </c>
      <c r="G58" s="5">
        <v>12276</v>
      </c>
      <c r="H58" s="5">
        <v>13154</v>
      </c>
      <c r="I58" s="5">
        <v>14016</v>
      </c>
      <c r="J58" s="5">
        <v>14993</v>
      </c>
      <c r="K58" s="5">
        <v>15864</v>
      </c>
      <c r="L58" s="5">
        <v>16520</v>
      </c>
    </row>
    <row r="59" spans="2:12" ht="27.95" customHeight="1" x14ac:dyDescent="0.25">
      <c r="B59" s="5" t="s">
        <v>64</v>
      </c>
      <c r="C59" s="5">
        <v>41537</v>
      </c>
      <c r="D59" s="5">
        <v>49278</v>
      </c>
      <c r="E59" s="5">
        <v>53621</v>
      </c>
      <c r="F59" s="5">
        <v>58045</v>
      </c>
      <c r="G59" s="5">
        <v>61660</v>
      </c>
      <c r="H59" s="5">
        <v>63408</v>
      </c>
      <c r="I59" s="5">
        <v>65018</v>
      </c>
      <c r="J59" s="5">
        <v>65502</v>
      </c>
      <c r="K59" s="5">
        <v>60430</v>
      </c>
      <c r="L59" s="5">
        <v>63234</v>
      </c>
    </row>
    <row r="60" spans="2:12" ht="27.95" customHeight="1" x14ac:dyDescent="0.25">
      <c r="B60" s="5" t="s">
        <v>65</v>
      </c>
      <c r="C60" s="5">
        <v>-757</v>
      </c>
      <c r="D60" s="5">
        <v>-1450</v>
      </c>
      <c r="E60" s="5">
        <v>-2774</v>
      </c>
      <c r="F60" s="5">
        <v>-3385</v>
      </c>
      <c r="G60" s="5">
        <v>-3432</v>
      </c>
      <c r="H60" s="5">
        <v>-5777</v>
      </c>
      <c r="I60" s="5">
        <v>-10174</v>
      </c>
      <c r="J60" s="5">
        <v>-11205</v>
      </c>
      <c r="K60" s="5">
        <v>-10305</v>
      </c>
      <c r="L60" s="5">
        <v>-12814</v>
      </c>
    </row>
    <row r="61" spans="2:12" ht="27.95" customHeight="1" x14ac:dyDescent="0.25">
      <c r="B61" s="5" t="s">
        <v>66</v>
      </c>
      <c r="C61" s="5">
        <v>-25398</v>
      </c>
      <c r="D61" s="5">
        <v>-27762</v>
      </c>
      <c r="E61" s="5">
        <v>-31304</v>
      </c>
      <c r="F61" s="5">
        <v>-35009</v>
      </c>
      <c r="G61" s="5">
        <v>-39091</v>
      </c>
      <c r="H61" s="5">
        <v>-42225</v>
      </c>
      <c r="I61" s="5">
        <v>-45066</v>
      </c>
      <c r="J61" s="5">
        <v>-47988</v>
      </c>
      <c r="K61" s="5">
        <v>-50677</v>
      </c>
      <c r="L61" s="5">
        <v>-51719</v>
      </c>
    </row>
    <row r="62" spans="2:12" ht="27.95" customHeight="1" x14ac:dyDescent="0.25">
      <c r="B62" s="6" t="s">
        <v>67</v>
      </c>
      <c r="C62" s="6">
        <v>24799</v>
      </c>
      <c r="D62" s="6">
        <v>31003</v>
      </c>
      <c r="E62" s="6">
        <v>31635</v>
      </c>
      <c r="F62" s="6">
        <v>32790</v>
      </c>
      <c r="G62" s="6">
        <v>33173</v>
      </c>
      <c r="H62" s="6">
        <v>30320</v>
      </c>
      <c r="I62" s="6">
        <v>25554</v>
      </c>
      <c r="J62" s="6">
        <v>23062</v>
      </c>
      <c r="K62" s="6">
        <v>17072</v>
      </c>
      <c r="L62" s="6">
        <v>16981</v>
      </c>
    </row>
    <row r="63" spans="2:12" ht="27.95" customHeight="1" x14ac:dyDescent="0.25">
      <c r="B63" s="5" t="s">
        <v>68</v>
      </c>
      <c r="C63" s="5">
        <v>547</v>
      </c>
      <c r="D63" s="5">
        <v>314</v>
      </c>
      <c r="E63" s="5">
        <v>286</v>
      </c>
      <c r="F63" s="5">
        <v>378</v>
      </c>
      <c r="G63" s="5">
        <v>267</v>
      </c>
      <c r="H63" s="5">
        <v>241</v>
      </c>
      <c r="I63" s="5">
        <v>210</v>
      </c>
      <c r="J63" s="5">
        <v>158</v>
      </c>
      <c r="K63" s="5">
        <v>1905</v>
      </c>
      <c r="L63" s="5">
        <v>2077</v>
      </c>
    </row>
    <row r="64" spans="2:12" ht="27.95" customHeight="1" x14ac:dyDescent="0.25">
      <c r="B64" s="6" t="s">
        <v>69</v>
      </c>
      <c r="C64" s="6">
        <v>25346</v>
      </c>
      <c r="D64" s="6">
        <v>31317</v>
      </c>
      <c r="E64" s="6">
        <v>31921</v>
      </c>
      <c r="F64" s="6">
        <v>33168</v>
      </c>
      <c r="G64" s="6">
        <v>33440</v>
      </c>
      <c r="H64" s="6">
        <v>30561</v>
      </c>
      <c r="I64" s="6">
        <v>25764</v>
      </c>
      <c r="J64" s="6">
        <v>23220</v>
      </c>
      <c r="K64" s="6">
        <v>18977</v>
      </c>
      <c r="L64" s="6">
        <v>19058</v>
      </c>
    </row>
    <row r="65" spans="1:12" ht="27.95" customHeight="1" x14ac:dyDescent="0.25">
      <c r="B65" s="6" t="s">
        <v>70</v>
      </c>
      <c r="C65" s="6">
        <v>48671</v>
      </c>
      <c r="D65" s="6">
        <v>72921</v>
      </c>
      <c r="E65" s="6">
        <v>79974</v>
      </c>
      <c r="F65" s="6">
        <v>86174</v>
      </c>
      <c r="G65" s="6">
        <v>90055</v>
      </c>
      <c r="H65" s="6">
        <v>92023</v>
      </c>
      <c r="I65" s="6">
        <v>89996</v>
      </c>
      <c r="J65" s="6">
        <v>87270</v>
      </c>
      <c r="K65" s="6">
        <v>87896</v>
      </c>
      <c r="L65" s="6">
        <v>83216</v>
      </c>
    </row>
    <row r="66" spans="1:12" ht="27.95" customHeight="1" x14ac:dyDescent="0.25">
      <c r="A66" t="s">
        <v>71</v>
      </c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27.95" customHeight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27.95" customHeight="1" x14ac:dyDescent="0.25">
      <c r="B68" s="5" t="s">
        <v>2</v>
      </c>
      <c r="C68" s="5" t="s">
        <v>3</v>
      </c>
      <c r="D68" s="5" t="s">
        <v>4</v>
      </c>
      <c r="E68" s="5" t="s">
        <v>5</v>
      </c>
      <c r="F68" s="5" t="s">
        <v>6</v>
      </c>
      <c r="G68" s="5" t="s">
        <v>7</v>
      </c>
      <c r="H68" s="5" t="s">
        <v>8</v>
      </c>
      <c r="I68" s="5" t="s">
        <v>9</v>
      </c>
      <c r="J68" s="5" t="s">
        <v>10</v>
      </c>
      <c r="K68" s="5" t="s">
        <v>11</v>
      </c>
      <c r="L68" s="5" t="s">
        <v>12</v>
      </c>
    </row>
    <row r="69" spans="1:12" ht="27.95" customHeight="1" x14ac:dyDescent="0.25">
      <c r="B69" s="5" t="s">
        <v>25</v>
      </c>
      <c r="C69" s="5">
        <v>6906</v>
      </c>
      <c r="D69" s="5">
        <v>11837</v>
      </c>
      <c r="E69" s="5">
        <v>8646</v>
      </c>
      <c r="F69" s="5">
        <v>9086</v>
      </c>
      <c r="G69" s="5">
        <v>8626</v>
      </c>
      <c r="H69" s="5">
        <v>7124</v>
      </c>
      <c r="I69" s="5">
        <v>7366</v>
      </c>
      <c r="J69" s="5">
        <v>6550</v>
      </c>
      <c r="K69" s="5">
        <v>1283</v>
      </c>
      <c r="L69" s="5">
        <v>6476</v>
      </c>
    </row>
    <row r="70" spans="1:12" ht="27.95" customHeight="1" x14ac:dyDescent="0.25">
      <c r="B70" s="5" t="s">
        <v>72</v>
      </c>
      <c r="C70" s="5">
        <v>1236</v>
      </c>
      <c r="D70" s="5">
        <v>1443</v>
      </c>
      <c r="E70" s="5">
        <v>1954</v>
      </c>
      <c r="F70" s="5">
        <v>1982</v>
      </c>
      <c r="G70" s="5">
        <v>1977</v>
      </c>
      <c r="H70" s="5">
        <v>1976</v>
      </c>
      <c r="I70" s="5">
        <v>1970</v>
      </c>
      <c r="J70" s="5">
        <v>1787</v>
      </c>
      <c r="K70" s="5">
        <v>1260</v>
      </c>
      <c r="L70" s="5">
        <v>1086</v>
      </c>
    </row>
    <row r="71" spans="1:12" ht="27.95" customHeight="1" x14ac:dyDescent="0.25">
      <c r="B71" s="5" t="s">
        <v>73</v>
      </c>
      <c r="C71" s="5"/>
      <c r="D71" s="5"/>
      <c r="E71" s="5"/>
      <c r="F71" s="5"/>
      <c r="G71" s="5"/>
      <c r="H71" s="5"/>
      <c r="I71" s="5">
        <v>0</v>
      </c>
      <c r="J71" s="5">
        <v>0</v>
      </c>
      <c r="K71" s="5">
        <v>-101</v>
      </c>
      <c r="L71" s="5">
        <v>251</v>
      </c>
    </row>
    <row r="72" spans="1:12" ht="27.95" customHeight="1" x14ac:dyDescent="0.25">
      <c r="B72" s="5" t="s">
        <v>27</v>
      </c>
      <c r="C72" s="5"/>
      <c r="D72" s="5"/>
      <c r="E72" s="5"/>
      <c r="F72" s="5"/>
      <c r="G72" s="5"/>
      <c r="H72" s="5"/>
      <c r="I72" s="5">
        <v>7366</v>
      </c>
      <c r="J72" s="5">
        <v>6550</v>
      </c>
      <c r="K72" s="5">
        <v>1182</v>
      </c>
      <c r="L72" s="5">
        <v>6727</v>
      </c>
    </row>
    <row r="73" spans="1:12" ht="27.95" customHeight="1" x14ac:dyDescent="0.25">
      <c r="B73" s="5" t="s">
        <v>74</v>
      </c>
      <c r="C73" s="5">
        <v>241</v>
      </c>
      <c r="D73" s="5">
        <v>380</v>
      </c>
      <c r="E73" s="5">
        <v>354</v>
      </c>
      <c r="F73" s="5">
        <v>259</v>
      </c>
      <c r="G73" s="5">
        <v>227</v>
      </c>
      <c r="H73" s="5">
        <v>209</v>
      </c>
      <c r="I73" s="5">
        <v>236</v>
      </c>
      <c r="J73" s="5">
        <v>258</v>
      </c>
      <c r="K73" s="5">
        <v>219</v>
      </c>
      <c r="L73" s="5">
        <v>225</v>
      </c>
    </row>
    <row r="74" spans="1:12" ht="27.95" customHeight="1" x14ac:dyDescent="0.25">
      <c r="B74" s="5" t="s">
        <v>61</v>
      </c>
      <c r="C74" s="5">
        <v>353</v>
      </c>
      <c r="D74" s="5">
        <v>604</v>
      </c>
      <c r="E74" s="5">
        <v>1035</v>
      </c>
      <c r="F74" s="5">
        <v>632</v>
      </c>
      <c r="G74" s="5">
        <v>648</v>
      </c>
      <c r="H74" s="5">
        <v>-40</v>
      </c>
      <c r="I74" s="5">
        <v>73</v>
      </c>
      <c r="J74" s="5">
        <v>-856</v>
      </c>
      <c r="K74" s="5">
        <v>-1256</v>
      </c>
      <c r="L74" s="5">
        <v>-450</v>
      </c>
    </row>
    <row r="75" spans="1:12" ht="27.95" customHeight="1" x14ac:dyDescent="0.25">
      <c r="B75" s="5" t="s">
        <v>75</v>
      </c>
      <c r="C75" s="5">
        <v>-359</v>
      </c>
      <c r="D75" s="5">
        <v>-671</v>
      </c>
      <c r="E75" s="5">
        <v>-269</v>
      </c>
      <c r="F75" s="5">
        <v>-426</v>
      </c>
      <c r="G75" s="5">
        <v>-201</v>
      </c>
      <c r="H75" s="5">
        <v>-371</v>
      </c>
      <c r="I75" s="5">
        <v>-122</v>
      </c>
      <c r="J75" s="5">
        <v>-449</v>
      </c>
      <c r="K75" s="5">
        <v>-628</v>
      </c>
      <c r="L75" s="5">
        <v>-457</v>
      </c>
    </row>
    <row r="76" spans="1:12" ht="27.95" customHeight="1" x14ac:dyDescent="0.25">
      <c r="B76" s="5" t="s">
        <v>76</v>
      </c>
      <c r="C76" s="5">
        <v>61</v>
      </c>
      <c r="D76" s="5">
        <v>151</v>
      </c>
      <c r="E76" s="5">
        <v>7</v>
      </c>
      <c r="F76" s="5">
        <v>-130</v>
      </c>
      <c r="G76" s="5">
        <v>168</v>
      </c>
      <c r="H76" s="5">
        <v>415</v>
      </c>
      <c r="I76" s="5">
        <v>-137</v>
      </c>
      <c r="J76" s="5">
        <v>158</v>
      </c>
      <c r="K76" s="5">
        <v>281</v>
      </c>
      <c r="L76" s="5">
        <v>-38</v>
      </c>
    </row>
    <row r="77" spans="1:12" ht="27.95" customHeight="1" x14ac:dyDescent="0.25">
      <c r="B77" s="5" t="s">
        <v>77</v>
      </c>
      <c r="C77" s="5">
        <v>-43</v>
      </c>
      <c r="D77" s="5">
        <v>-645</v>
      </c>
      <c r="E77" s="5">
        <v>-220</v>
      </c>
      <c r="F77" s="5">
        <v>-98</v>
      </c>
      <c r="G77" s="5">
        <v>-670</v>
      </c>
      <c r="H77" s="5">
        <v>831</v>
      </c>
      <c r="I77" s="5">
        <v>-374</v>
      </c>
      <c r="J77" s="5">
        <v>1146</v>
      </c>
      <c r="K77" s="5">
        <v>1459</v>
      </c>
      <c r="L77" s="5">
        <v>189</v>
      </c>
    </row>
    <row r="78" spans="1:12" ht="27.95" customHeight="1" x14ac:dyDescent="0.25">
      <c r="B78" s="5" t="s">
        <v>78</v>
      </c>
      <c r="C78" s="5">
        <v>0</v>
      </c>
      <c r="D78" s="5">
        <v>-4713</v>
      </c>
      <c r="E78" s="5"/>
      <c r="F78" s="5"/>
      <c r="G78" s="5"/>
      <c r="H78" s="5"/>
      <c r="I78" s="5"/>
      <c r="J78" s="5"/>
      <c r="K78" s="5"/>
      <c r="L78" s="5"/>
    </row>
    <row r="79" spans="1:12" ht="27.95" customHeight="1" x14ac:dyDescent="0.25">
      <c r="B79" s="5" t="s">
        <v>17</v>
      </c>
      <c r="C79" s="5">
        <v>134</v>
      </c>
      <c r="D79" s="5">
        <v>264</v>
      </c>
      <c r="E79" s="5">
        <v>214</v>
      </c>
      <c r="F79" s="5">
        <v>166</v>
      </c>
      <c r="G79" s="5">
        <v>465</v>
      </c>
      <c r="H79" s="5">
        <v>761</v>
      </c>
      <c r="I79" s="5">
        <v>929</v>
      </c>
      <c r="J79" s="5">
        <v>647</v>
      </c>
      <c r="K79" s="5">
        <v>1218</v>
      </c>
      <c r="L79" s="5">
        <v>558</v>
      </c>
    </row>
    <row r="80" spans="1:12" ht="27.95" customHeight="1" x14ac:dyDescent="0.25">
      <c r="B80" s="5" t="s">
        <v>79</v>
      </c>
      <c r="C80" s="5">
        <v>221</v>
      </c>
      <c r="D80" s="5">
        <v>512</v>
      </c>
      <c r="E80" s="5">
        <v>-354</v>
      </c>
      <c r="F80" s="5">
        <v>254</v>
      </c>
      <c r="G80" s="5">
        <v>234</v>
      </c>
      <c r="H80" s="5">
        <v>149</v>
      </c>
      <c r="I80" s="5">
        <v>744</v>
      </c>
      <c r="J80" s="5">
        <v>-224</v>
      </c>
      <c r="K80" s="5">
        <v>-269</v>
      </c>
      <c r="L80" s="5">
        <v>682</v>
      </c>
    </row>
    <row r="81" spans="2:12" ht="27.95" customHeight="1" x14ac:dyDescent="0.25">
      <c r="B81" s="5" t="s">
        <v>80</v>
      </c>
      <c r="C81" s="5">
        <v>-564</v>
      </c>
      <c r="D81" s="5">
        <v>370</v>
      </c>
      <c r="E81" s="5">
        <v>-1893</v>
      </c>
      <c r="F81" s="5">
        <v>-1080</v>
      </c>
      <c r="G81" s="5">
        <v>-932</v>
      </c>
      <c r="H81" s="5">
        <v>-439</v>
      </c>
      <c r="I81" s="5">
        <v>-157</v>
      </c>
      <c r="J81" s="5">
        <v>-221</v>
      </c>
      <c r="K81" s="5">
        <v>3464</v>
      </c>
      <c r="L81" s="5">
        <v>-1202</v>
      </c>
    </row>
    <row r="82" spans="2:12" ht="27.95" customHeight="1" x14ac:dyDescent="0.25">
      <c r="B82" s="6" t="s">
        <v>81</v>
      </c>
      <c r="C82" s="6">
        <v>8186</v>
      </c>
      <c r="D82" s="6">
        <v>9532</v>
      </c>
      <c r="E82" s="6">
        <v>9474</v>
      </c>
      <c r="F82" s="6">
        <v>10645</v>
      </c>
      <c r="G82" s="6">
        <v>10542</v>
      </c>
      <c r="H82" s="6">
        <v>10615</v>
      </c>
      <c r="I82" s="6">
        <v>10528</v>
      </c>
      <c r="J82" s="6">
        <v>8796</v>
      </c>
      <c r="K82" s="6">
        <v>6930</v>
      </c>
      <c r="L82" s="6">
        <v>7320</v>
      </c>
    </row>
    <row r="83" spans="2:12" ht="27.95" customHeight="1" x14ac:dyDescent="0.25">
      <c r="B83" s="5" t="s">
        <v>82</v>
      </c>
      <c r="C83" s="5">
        <v>-2130</v>
      </c>
      <c r="D83" s="5">
        <v>-4579</v>
      </c>
      <c r="E83" s="5"/>
      <c r="F83" s="5"/>
      <c r="G83" s="5"/>
      <c r="H83" s="5"/>
      <c r="I83" s="5"/>
      <c r="J83" s="5"/>
      <c r="K83" s="5"/>
      <c r="L83" s="5"/>
    </row>
    <row r="84" spans="2:12" ht="27.95" customHeight="1" x14ac:dyDescent="0.25">
      <c r="B84" s="5" t="s">
        <v>83</v>
      </c>
      <c r="C84" s="5">
        <v>-22</v>
      </c>
      <c r="D84" s="5">
        <v>-132</v>
      </c>
      <c r="E84" s="5">
        <v>-4798</v>
      </c>
      <c r="F84" s="5">
        <v>-14824</v>
      </c>
      <c r="G84" s="5">
        <v>-14782</v>
      </c>
      <c r="H84" s="5">
        <v>-17800</v>
      </c>
      <c r="I84" s="5">
        <v>-15831</v>
      </c>
      <c r="J84" s="5">
        <v>-15499</v>
      </c>
      <c r="K84" s="5">
        <v>-17296</v>
      </c>
      <c r="L84" s="5">
        <v>-7789</v>
      </c>
    </row>
    <row r="85" spans="2:12" ht="27.95" customHeight="1" x14ac:dyDescent="0.25">
      <c r="B85" s="5" t="s">
        <v>84</v>
      </c>
      <c r="C85" s="5">
        <v>0</v>
      </c>
      <c r="D85" s="5">
        <v>4032</v>
      </c>
      <c r="E85" s="5">
        <v>5811</v>
      </c>
      <c r="F85" s="5">
        <v>7791</v>
      </c>
      <c r="G85" s="5">
        <v>12791</v>
      </c>
      <c r="H85" s="5">
        <v>12986</v>
      </c>
      <c r="I85" s="5">
        <v>14079</v>
      </c>
      <c r="J85" s="5">
        <v>16624</v>
      </c>
      <c r="K85" s="5">
        <v>16694</v>
      </c>
      <c r="L85" s="5">
        <v>14977</v>
      </c>
    </row>
    <row r="86" spans="2:12" ht="27.95" customHeight="1" x14ac:dyDescent="0.25">
      <c r="B86" s="5" t="s">
        <v>85</v>
      </c>
      <c r="C86" s="5">
        <v>-300</v>
      </c>
      <c r="D86" s="5">
        <v>-2511</v>
      </c>
      <c r="E86" s="5">
        <v>-971</v>
      </c>
      <c r="F86" s="5">
        <v>-1486</v>
      </c>
      <c r="G86" s="5">
        <v>-353</v>
      </c>
      <c r="H86" s="5">
        <v>-389</v>
      </c>
      <c r="I86" s="5">
        <v>-2491</v>
      </c>
      <c r="J86" s="5">
        <v>-838</v>
      </c>
      <c r="K86" s="5">
        <v>-3809</v>
      </c>
      <c r="L86" s="5">
        <v>-1040</v>
      </c>
    </row>
    <row r="87" spans="2:12" ht="27.95" customHeight="1" x14ac:dyDescent="0.25">
      <c r="B87" s="5" t="s">
        <v>86</v>
      </c>
      <c r="C87" s="5">
        <v>240</v>
      </c>
      <c r="D87" s="5">
        <v>972</v>
      </c>
      <c r="E87" s="5">
        <v>398</v>
      </c>
      <c r="F87" s="5">
        <v>20</v>
      </c>
      <c r="G87" s="5">
        <v>872</v>
      </c>
      <c r="H87" s="5">
        <v>148</v>
      </c>
      <c r="I87" s="5">
        <v>565</v>
      </c>
      <c r="J87" s="5">
        <v>1035</v>
      </c>
      <c r="K87" s="5">
        <v>3821</v>
      </c>
      <c r="L87" s="5">
        <v>1362</v>
      </c>
    </row>
    <row r="88" spans="2:12" ht="27.95" customHeight="1" x14ac:dyDescent="0.25">
      <c r="B88" s="5" t="s">
        <v>87</v>
      </c>
      <c r="C88" s="5">
        <v>-1993</v>
      </c>
      <c r="D88" s="5">
        <v>-2215</v>
      </c>
      <c r="E88" s="5">
        <v>-2920</v>
      </c>
      <c r="F88" s="5">
        <v>-2780</v>
      </c>
      <c r="G88" s="5">
        <v>-2550</v>
      </c>
      <c r="H88" s="5">
        <v>-2406</v>
      </c>
      <c r="I88" s="5">
        <v>-2553</v>
      </c>
      <c r="J88" s="5">
        <v>-2262</v>
      </c>
      <c r="K88" s="5">
        <v>-1675</v>
      </c>
      <c r="L88" s="5">
        <v>-1347</v>
      </c>
    </row>
    <row r="89" spans="2:12" ht="27.95" customHeight="1" x14ac:dyDescent="0.25">
      <c r="B89" s="5" t="s">
        <v>88</v>
      </c>
      <c r="C89" s="5">
        <v>104</v>
      </c>
      <c r="D89" s="5">
        <v>134</v>
      </c>
      <c r="E89" s="5">
        <v>101</v>
      </c>
      <c r="F89" s="5">
        <v>143</v>
      </c>
      <c r="G89" s="5">
        <v>111</v>
      </c>
      <c r="H89" s="5">
        <v>223</v>
      </c>
      <c r="I89" s="5">
        <v>85</v>
      </c>
      <c r="J89" s="5">
        <v>150</v>
      </c>
      <c r="K89" s="5">
        <v>104</v>
      </c>
      <c r="L89" s="5">
        <v>245</v>
      </c>
    </row>
    <row r="90" spans="2:12" ht="27.95" customHeight="1" x14ac:dyDescent="0.25">
      <c r="B90" s="5" t="s">
        <v>89</v>
      </c>
      <c r="C90" s="5">
        <v>-48</v>
      </c>
      <c r="D90" s="5">
        <v>-106</v>
      </c>
      <c r="E90" s="5">
        <v>-145</v>
      </c>
      <c r="F90" s="5">
        <v>-268</v>
      </c>
      <c r="G90" s="5">
        <v>-303</v>
      </c>
      <c r="H90" s="5">
        <v>-268</v>
      </c>
      <c r="I90" s="5">
        <v>-40</v>
      </c>
      <c r="J90" s="5">
        <v>-209</v>
      </c>
      <c r="K90" s="5">
        <v>-93</v>
      </c>
      <c r="L90" s="5">
        <v>-60</v>
      </c>
    </row>
    <row r="91" spans="2:12" ht="27.95" customHeight="1" x14ac:dyDescent="0.25">
      <c r="B91" s="6" t="s">
        <v>90</v>
      </c>
      <c r="C91" s="6">
        <v>-4149</v>
      </c>
      <c r="D91" s="6">
        <v>-4405</v>
      </c>
      <c r="E91" s="6">
        <v>-2524</v>
      </c>
      <c r="F91" s="6">
        <v>-11404</v>
      </c>
      <c r="G91" s="6">
        <v>-4214</v>
      </c>
      <c r="H91" s="6">
        <v>-7506</v>
      </c>
      <c r="I91" s="6">
        <v>-6186</v>
      </c>
      <c r="J91" s="6">
        <v>-999</v>
      </c>
      <c r="K91" s="6">
        <v>-2254</v>
      </c>
      <c r="L91" s="6">
        <v>6348</v>
      </c>
    </row>
    <row r="92" spans="2:12" ht="27.95" customHeight="1" x14ac:dyDescent="0.25">
      <c r="B92" s="5" t="s">
        <v>91</v>
      </c>
      <c r="C92" s="5">
        <v>14689</v>
      </c>
      <c r="D92" s="5">
        <v>15251</v>
      </c>
      <c r="E92" s="5">
        <v>27495</v>
      </c>
      <c r="F92" s="5">
        <v>42791</v>
      </c>
      <c r="G92" s="5">
        <v>43425</v>
      </c>
      <c r="H92" s="5">
        <v>41674</v>
      </c>
      <c r="I92" s="5">
        <v>40434</v>
      </c>
      <c r="J92" s="5">
        <v>27281</v>
      </c>
      <c r="K92" s="5">
        <v>29857</v>
      </c>
      <c r="L92" s="5">
        <v>27339</v>
      </c>
    </row>
    <row r="93" spans="2:12" ht="27.95" customHeight="1" x14ac:dyDescent="0.25">
      <c r="B93" s="5" t="s">
        <v>92</v>
      </c>
      <c r="C93" s="5">
        <v>-12326</v>
      </c>
      <c r="D93" s="5">
        <v>-13403</v>
      </c>
      <c r="E93" s="5">
        <v>-22530</v>
      </c>
      <c r="F93" s="5">
        <v>-38573</v>
      </c>
      <c r="G93" s="5">
        <v>-38714</v>
      </c>
      <c r="H93" s="5">
        <v>-36962</v>
      </c>
      <c r="I93" s="5">
        <v>-37738</v>
      </c>
      <c r="J93" s="5">
        <v>-25615</v>
      </c>
      <c r="K93" s="5">
        <v>-28768</v>
      </c>
      <c r="L93" s="5">
        <v>-30568</v>
      </c>
    </row>
    <row r="94" spans="2:12" ht="27.95" customHeight="1" x14ac:dyDescent="0.25">
      <c r="B94" s="5" t="s">
        <v>93</v>
      </c>
      <c r="C94" s="5">
        <v>664</v>
      </c>
      <c r="D94" s="5">
        <v>1666</v>
      </c>
      <c r="E94" s="5">
        <v>1569</v>
      </c>
      <c r="F94" s="5">
        <v>1489</v>
      </c>
      <c r="G94" s="5">
        <v>1328</v>
      </c>
      <c r="H94" s="5">
        <v>1532</v>
      </c>
      <c r="I94" s="5">
        <v>1245</v>
      </c>
      <c r="J94" s="5">
        <v>1434</v>
      </c>
      <c r="K94" s="5">
        <v>1595</v>
      </c>
      <c r="L94" s="5">
        <v>1476</v>
      </c>
    </row>
    <row r="95" spans="2:12" ht="27.95" customHeight="1" x14ac:dyDescent="0.25">
      <c r="B95" s="5" t="s">
        <v>94</v>
      </c>
      <c r="C95" s="5">
        <v>-1518</v>
      </c>
      <c r="D95" s="5">
        <v>-2961</v>
      </c>
      <c r="E95" s="5">
        <v>-4513</v>
      </c>
      <c r="F95" s="5">
        <v>-4559</v>
      </c>
      <c r="G95" s="5">
        <v>-4832</v>
      </c>
      <c r="H95" s="5">
        <v>-4162</v>
      </c>
      <c r="I95" s="5">
        <v>-3564</v>
      </c>
      <c r="J95" s="5">
        <v>-3681</v>
      </c>
      <c r="K95" s="5">
        <v>-3682</v>
      </c>
      <c r="L95" s="5">
        <v>-1912</v>
      </c>
    </row>
    <row r="96" spans="2:12" ht="27.95" customHeight="1" x14ac:dyDescent="0.25">
      <c r="B96" s="5" t="s">
        <v>95</v>
      </c>
      <c r="C96" s="5">
        <v>-3800</v>
      </c>
      <c r="D96" s="5">
        <v>-4068</v>
      </c>
      <c r="E96" s="5">
        <v>-4300</v>
      </c>
      <c r="F96" s="5">
        <v>-4595</v>
      </c>
      <c r="G96" s="5">
        <v>-4969</v>
      </c>
      <c r="H96" s="5">
        <v>-5350</v>
      </c>
      <c r="I96" s="5">
        <v>-5741</v>
      </c>
      <c r="J96" s="5">
        <v>-6043</v>
      </c>
      <c r="K96" s="5">
        <v>-6320</v>
      </c>
      <c r="L96" s="5">
        <v>-6644</v>
      </c>
    </row>
    <row r="97" spans="2:12" ht="27.95" customHeight="1" x14ac:dyDescent="0.25">
      <c r="B97" s="5" t="s">
        <v>96</v>
      </c>
      <c r="C97" s="5">
        <v>-2</v>
      </c>
      <c r="D97" s="5">
        <v>50</v>
      </c>
      <c r="E97" s="5">
        <v>45</v>
      </c>
      <c r="F97" s="5">
        <v>100</v>
      </c>
      <c r="G97" s="5">
        <v>17</v>
      </c>
      <c r="H97" s="5">
        <v>-363</v>
      </c>
      <c r="I97" s="5">
        <v>251</v>
      </c>
      <c r="J97" s="5">
        <v>79</v>
      </c>
      <c r="K97" s="5">
        <v>-91</v>
      </c>
      <c r="L97" s="5">
        <v>-243</v>
      </c>
    </row>
    <row r="98" spans="2:12" ht="27.95" customHeight="1" x14ac:dyDescent="0.25">
      <c r="B98" s="6" t="s">
        <v>97</v>
      </c>
      <c r="C98" s="6">
        <v>-2293</v>
      </c>
      <c r="D98" s="6">
        <v>-3465</v>
      </c>
      <c r="E98" s="6">
        <v>-2234</v>
      </c>
      <c r="F98" s="6">
        <v>-3347</v>
      </c>
      <c r="G98" s="6">
        <v>-3745</v>
      </c>
      <c r="H98" s="6">
        <v>-3631</v>
      </c>
      <c r="I98" s="6">
        <v>-5113</v>
      </c>
      <c r="J98" s="6">
        <v>-6545</v>
      </c>
      <c r="K98" s="6">
        <v>-7409</v>
      </c>
      <c r="L98" s="6">
        <v>-10552</v>
      </c>
    </row>
    <row r="99" spans="2:12" ht="27.95" customHeight="1" x14ac:dyDescent="0.25">
      <c r="B99" s="5" t="s">
        <v>98</v>
      </c>
      <c r="C99" s="5"/>
      <c r="D99" s="5"/>
      <c r="E99" s="5"/>
      <c r="F99" s="5"/>
      <c r="G99" s="5"/>
      <c r="H99" s="5"/>
      <c r="I99" s="5">
        <v>0</v>
      </c>
      <c r="J99" s="5">
        <v>0</v>
      </c>
      <c r="K99" s="5">
        <v>111</v>
      </c>
      <c r="L99" s="5">
        <v>307</v>
      </c>
    </row>
    <row r="100" spans="2:12" ht="27.95" customHeight="1" x14ac:dyDescent="0.25">
      <c r="B100" s="5" t="s">
        <v>99</v>
      </c>
      <c r="C100" s="5">
        <v>576</v>
      </c>
      <c r="D100" s="5">
        <v>-166</v>
      </c>
      <c r="E100" s="5">
        <v>-430</v>
      </c>
      <c r="F100" s="5">
        <v>-255</v>
      </c>
      <c r="G100" s="5">
        <v>-611</v>
      </c>
      <c r="H100" s="5">
        <v>-934</v>
      </c>
      <c r="I100" s="5">
        <v>-878</v>
      </c>
      <c r="J100" s="5">
        <v>-6</v>
      </c>
      <c r="K100" s="5">
        <v>241</v>
      </c>
      <c r="L100" s="5">
        <v>-262</v>
      </c>
    </row>
    <row r="101" spans="2:12" ht="27.95" customHeight="1" x14ac:dyDescent="0.25">
      <c r="B101" s="5" t="s">
        <v>100</v>
      </c>
      <c r="C101" s="5"/>
      <c r="D101" s="5"/>
      <c r="E101" s="5"/>
      <c r="F101" s="5"/>
      <c r="G101" s="5"/>
      <c r="H101" s="5"/>
      <c r="I101" s="5">
        <v>0</v>
      </c>
      <c r="J101" s="5">
        <v>0</v>
      </c>
      <c r="K101" s="5">
        <v>-58</v>
      </c>
      <c r="L101" s="5">
        <v>-421</v>
      </c>
    </row>
    <row r="102" spans="2:12" ht="27.95" customHeight="1" x14ac:dyDescent="0.25">
      <c r="B102" s="5" t="s">
        <v>101</v>
      </c>
      <c r="C102" s="5"/>
      <c r="D102" s="5"/>
      <c r="E102" s="5"/>
      <c r="F102" s="5"/>
      <c r="G102" s="5"/>
      <c r="H102" s="5"/>
      <c r="I102" s="5">
        <v>0</v>
      </c>
      <c r="J102" s="5">
        <v>0</v>
      </c>
      <c r="K102" s="5">
        <v>-38</v>
      </c>
      <c r="L102" s="5">
        <v>205</v>
      </c>
    </row>
    <row r="103" spans="2:12" ht="27.95" customHeight="1" x14ac:dyDescent="0.25">
      <c r="B103" s="5" t="s">
        <v>102</v>
      </c>
      <c r="C103" s="5"/>
      <c r="D103" s="5"/>
      <c r="E103" s="5"/>
      <c r="F103" s="5"/>
      <c r="G103" s="5"/>
      <c r="H103" s="5"/>
      <c r="I103" s="5">
        <v>0</v>
      </c>
      <c r="J103" s="5">
        <v>0</v>
      </c>
      <c r="K103" s="5">
        <v>15</v>
      </c>
      <c r="L103" s="5">
        <v>91</v>
      </c>
    </row>
    <row r="104" spans="2:12" ht="27.95" customHeight="1" x14ac:dyDescent="0.25">
      <c r="B104" s="6" t="s">
        <v>103</v>
      </c>
      <c r="C104" s="6">
        <v>2320</v>
      </c>
      <c r="D104" s="6">
        <v>1496</v>
      </c>
      <c r="E104" s="6">
        <v>4286</v>
      </c>
      <c r="F104" s="6">
        <v>-4361</v>
      </c>
      <c r="G104" s="6">
        <v>1972</v>
      </c>
      <c r="H104" s="6">
        <v>-1456</v>
      </c>
      <c r="I104" s="6">
        <v>-1649</v>
      </c>
      <c r="J104" s="6">
        <v>1246</v>
      </c>
      <c r="K104" s="6">
        <v>-2477</v>
      </c>
      <c r="L104" s="6">
        <v>2945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hyperlinks>
    <hyperlink ref="A1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F052-E2D4-41B4-8520-32F1EDE5028C}">
  <dimension ref="A3:H42"/>
  <sheetViews>
    <sheetView topLeftCell="A7" workbookViewId="0">
      <selection activeCell="B36" sqref="B36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8.42578125" bestFit="1" customWidth="1"/>
    <col min="4" max="4" width="20.7109375" bestFit="1" customWidth="1"/>
    <col min="5" max="5" width="20" bestFit="1" customWidth="1"/>
    <col min="6" max="6" width="26.42578125" bestFit="1" customWidth="1"/>
    <col min="7" max="7" width="19.7109375" bestFit="1" customWidth="1"/>
    <col min="8" max="8" width="21.7109375" bestFit="1" customWidth="1"/>
  </cols>
  <sheetData>
    <row r="3" spans="1:8" ht="15.75" x14ac:dyDescent="0.25">
      <c r="A3" s="43" t="s">
        <v>124</v>
      </c>
      <c r="B3" s="43" t="s">
        <v>126</v>
      </c>
      <c r="C3" s="43" t="s">
        <v>127</v>
      </c>
      <c r="D3" s="43" t="s">
        <v>128</v>
      </c>
      <c r="E3" s="43" t="s">
        <v>129</v>
      </c>
      <c r="F3" s="43" t="s">
        <v>131</v>
      </c>
      <c r="G3" s="43" t="s">
        <v>132</v>
      </c>
      <c r="H3" s="43" t="s">
        <v>130</v>
      </c>
    </row>
    <row r="4" spans="1:8" x14ac:dyDescent="0.25">
      <c r="A4" s="40" t="s">
        <v>105</v>
      </c>
      <c r="B4" s="41">
        <v>30990</v>
      </c>
      <c r="C4" s="5">
        <v>19902</v>
      </c>
      <c r="D4" s="41">
        <v>8231</v>
      </c>
      <c r="E4" s="5">
        <v>6906</v>
      </c>
      <c r="F4" s="42">
        <v>0.26560180703452729</v>
      </c>
      <c r="G4" s="35">
        <v>0.22284607938044532</v>
      </c>
      <c r="H4" s="42">
        <v>0.6422071636011617</v>
      </c>
    </row>
    <row r="5" spans="1:8" x14ac:dyDescent="0.25">
      <c r="A5" s="40" t="s">
        <v>106</v>
      </c>
      <c r="B5" s="41">
        <v>35119</v>
      </c>
      <c r="C5" s="5">
        <v>22426</v>
      </c>
      <c r="D5" s="41">
        <v>8413</v>
      </c>
      <c r="E5" s="5">
        <v>11837</v>
      </c>
      <c r="F5" s="42">
        <v>0.23955693499245423</v>
      </c>
      <c r="G5" s="35">
        <v>0.33705401634442894</v>
      </c>
      <c r="H5" s="42">
        <v>0.63857171331757734</v>
      </c>
    </row>
    <row r="6" spans="1:8" x14ac:dyDescent="0.25">
      <c r="A6" s="52" t="s">
        <v>107</v>
      </c>
      <c r="B6" s="41">
        <v>46542</v>
      </c>
      <c r="C6" s="5">
        <v>28327</v>
      </c>
      <c r="D6" s="41">
        <v>10173</v>
      </c>
      <c r="E6" s="5">
        <v>8646</v>
      </c>
      <c r="F6" s="42">
        <v>0.21857676936960166</v>
      </c>
      <c r="G6" s="35">
        <v>0.18576769369601651</v>
      </c>
      <c r="H6" s="42">
        <v>0.60863306261011563</v>
      </c>
    </row>
    <row r="7" spans="1:8" x14ac:dyDescent="0.25">
      <c r="A7" s="52" t="s">
        <v>108</v>
      </c>
      <c r="B7" s="41">
        <v>48017</v>
      </c>
      <c r="C7" s="5">
        <v>28964</v>
      </c>
      <c r="D7" s="41">
        <v>10779</v>
      </c>
      <c r="E7" s="5">
        <v>9086</v>
      </c>
      <c r="F7" s="42">
        <v>0.22448299560572296</v>
      </c>
      <c r="G7" s="35">
        <v>0.18922464960326552</v>
      </c>
      <c r="H7" s="42">
        <v>0.60320303225940808</v>
      </c>
    </row>
    <row r="8" spans="1:8" x14ac:dyDescent="0.25">
      <c r="A8" s="52" t="s">
        <v>109</v>
      </c>
      <c r="B8" s="41">
        <v>46854</v>
      </c>
      <c r="C8" s="5">
        <v>28433</v>
      </c>
      <c r="D8" s="41">
        <v>10228</v>
      </c>
      <c r="E8" s="5">
        <v>8626</v>
      </c>
      <c r="F8" s="42">
        <v>0.21829512955137234</v>
      </c>
      <c r="G8" s="35">
        <v>0.18410381184103811</v>
      </c>
      <c r="H8" s="42">
        <v>0.60684253212105688</v>
      </c>
    </row>
    <row r="9" spans="1:8" x14ac:dyDescent="0.25">
      <c r="A9" s="52" t="s">
        <v>110</v>
      </c>
      <c r="B9" s="41">
        <v>45998</v>
      </c>
      <c r="C9" s="5">
        <v>28109</v>
      </c>
      <c r="D9" s="41">
        <v>9708</v>
      </c>
      <c r="E9" s="5">
        <v>7124</v>
      </c>
      <c r="F9" s="42">
        <v>0.21105265446323754</v>
      </c>
      <c r="G9" s="35">
        <v>0.1548762989695204</v>
      </c>
      <c r="H9" s="42">
        <v>0.61109178659941732</v>
      </c>
    </row>
    <row r="10" spans="1:8" x14ac:dyDescent="0.25">
      <c r="A10" s="52" t="s">
        <v>111</v>
      </c>
      <c r="B10" s="41">
        <v>44294</v>
      </c>
      <c r="C10" s="5">
        <v>26812</v>
      </c>
      <c r="D10" s="41">
        <v>8728</v>
      </c>
      <c r="E10" s="5">
        <v>7366</v>
      </c>
      <c r="F10" s="42">
        <v>0.19704700410890866</v>
      </c>
      <c r="G10" s="35">
        <v>0.16629791845396669</v>
      </c>
      <c r="H10" s="42">
        <v>0.60531900483135415</v>
      </c>
    </row>
    <row r="11" spans="1:8" x14ac:dyDescent="0.25">
      <c r="A11" s="52" t="s">
        <v>112</v>
      </c>
      <c r="B11" s="41">
        <v>41863</v>
      </c>
      <c r="C11" s="5">
        <v>25398</v>
      </c>
      <c r="D11" s="41">
        <v>8626</v>
      </c>
      <c r="E11" s="5">
        <v>6550</v>
      </c>
      <c r="F11" s="42">
        <v>0.20605307789694957</v>
      </c>
      <c r="G11" s="35">
        <v>0.15646274753362158</v>
      </c>
      <c r="H11" s="42">
        <v>0.60669326135250701</v>
      </c>
    </row>
    <row r="12" spans="1:8" x14ac:dyDescent="0.25">
      <c r="A12" s="52" t="s">
        <v>113</v>
      </c>
      <c r="B12" s="41">
        <v>35410</v>
      </c>
      <c r="C12" s="5">
        <v>22155</v>
      </c>
      <c r="D12" s="41">
        <v>7599</v>
      </c>
      <c r="E12" s="5">
        <v>1283</v>
      </c>
      <c r="F12" s="42">
        <v>0.21460039536853995</v>
      </c>
      <c r="G12" s="35">
        <v>3.6232702626376727E-2</v>
      </c>
      <c r="H12" s="42">
        <v>0.62567071448743294</v>
      </c>
    </row>
    <row r="13" spans="1:8" x14ac:dyDescent="0.25">
      <c r="A13" s="40" t="s">
        <v>114</v>
      </c>
      <c r="B13" s="41">
        <v>31856</v>
      </c>
      <c r="C13" s="5">
        <v>20086</v>
      </c>
      <c r="D13" s="41">
        <v>8700</v>
      </c>
      <c r="E13" s="5">
        <v>6476</v>
      </c>
      <c r="F13" s="42">
        <v>0.27310396785534907</v>
      </c>
      <c r="G13" s="35">
        <v>0.2032898041185334</v>
      </c>
      <c r="H13" s="42">
        <v>0.63052486187845302</v>
      </c>
    </row>
    <row r="14" spans="1:8" ht="15.75" x14ac:dyDescent="0.25">
      <c r="A14" s="44" t="s">
        <v>125</v>
      </c>
      <c r="B14" s="45">
        <v>406943</v>
      </c>
      <c r="C14" s="45">
        <v>250612</v>
      </c>
      <c r="D14" s="45">
        <v>91185</v>
      </c>
      <c r="E14" s="45">
        <v>73900</v>
      </c>
      <c r="F14" s="46">
        <v>0.22407315029377578</v>
      </c>
      <c r="G14" s="46">
        <v>0.1815979142042006</v>
      </c>
      <c r="H14" s="46">
        <v>0.61584054769341157</v>
      </c>
    </row>
    <row r="31" spans="1:4" ht="15.75" x14ac:dyDescent="0.25">
      <c r="A31" s="64" t="s">
        <v>124</v>
      </c>
      <c r="B31" s="64" t="s">
        <v>134</v>
      </c>
      <c r="C31" s="65" t="s">
        <v>135</v>
      </c>
      <c r="D31" s="66" t="s">
        <v>136</v>
      </c>
    </row>
    <row r="32" spans="1:4" x14ac:dyDescent="0.25">
      <c r="A32" s="38" t="s">
        <v>105</v>
      </c>
      <c r="B32" s="41">
        <v>5059</v>
      </c>
      <c r="C32" s="36">
        <v>25346</v>
      </c>
      <c r="D32" s="67">
        <v>0.19959756963623451</v>
      </c>
    </row>
    <row r="33" spans="1:4" x14ac:dyDescent="0.25">
      <c r="A33" s="39" t="s">
        <v>106</v>
      </c>
      <c r="B33" s="41">
        <v>14041</v>
      </c>
      <c r="C33" s="37">
        <v>31317</v>
      </c>
      <c r="D33" s="68">
        <v>0.4483507360219689</v>
      </c>
    </row>
    <row r="34" spans="1:4" x14ac:dyDescent="0.25">
      <c r="A34" s="39" t="s">
        <v>107</v>
      </c>
      <c r="B34" s="41">
        <v>13656</v>
      </c>
      <c r="C34" s="37">
        <v>31921</v>
      </c>
      <c r="D34" s="68">
        <v>0.42780614642398423</v>
      </c>
    </row>
    <row r="35" spans="1:4" x14ac:dyDescent="0.25">
      <c r="A35" s="39" t="s">
        <v>108</v>
      </c>
      <c r="B35" s="41">
        <v>14736</v>
      </c>
      <c r="C35" s="37">
        <v>33168</v>
      </c>
      <c r="D35" s="68">
        <v>0.44428364688856731</v>
      </c>
    </row>
    <row r="36" spans="1:4" x14ac:dyDescent="0.25">
      <c r="A36" s="39" t="s">
        <v>109</v>
      </c>
      <c r="B36" s="41">
        <v>19154</v>
      </c>
      <c r="C36" s="37">
        <v>33440</v>
      </c>
      <c r="D36" s="68">
        <v>0.5727870813397129</v>
      </c>
    </row>
    <row r="37" spans="1:4" x14ac:dyDescent="0.25">
      <c r="A37" s="39" t="s">
        <v>110</v>
      </c>
      <c r="B37" s="41">
        <v>19063</v>
      </c>
      <c r="C37" s="37">
        <v>30561</v>
      </c>
      <c r="D37" s="68">
        <v>0.62376885573116059</v>
      </c>
    </row>
    <row r="38" spans="1:4" x14ac:dyDescent="0.25">
      <c r="A38" s="39" t="s">
        <v>111</v>
      </c>
      <c r="B38" s="41">
        <v>28311</v>
      </c>
      <c r="C38" s="37">
        <v>25764</v>
      </c>
      <c r="D38" s="68">
        <v>1.0988588728458315</v>
      </c>
    </row>
    <row r="39" spans="1:4" x14ac:dyDescent="0.25">
      <c r="A39" s="39" t="s">
        <v>112</v>
      </c>
      <c r="B39" s="41">
        <v>29684</v>
      </c>
      <c r="C39" s="37">
        <v>23220</v>
      </c>
      <c r="D39" s="68">
        <v>1.2783807062876831</v>
      </c>
    </row>
    <row r="40" spans="1:4" x14ac:dyDescent="0.25">
      <c r="A40" s="39" t="s">
        <v>113</v>
      </c>
      <c r="B40" s="41">
        <v>31182</v>
      </c>
      <c r="C40" s="37">
        <v>18977</v>
      </c>
      <c r="D40" s="68">
        <v>1.6431469673815671</v>
      </c>
    </row>
    <row r="41" spans="1:4" x14ac:dyDescent="0.25">
      <c r="A41" s="39" t="s">
        <v>114</v>
      </c>
      <c r="B41" s="41">
        <v>25364</v>
      </c>
      <c r="C41" s="37">
        <v>19058</v>
      </c>
      <c r="D41" s="68">
        <v>1.3308846678560184</v>
      </c>
    </row>
    <row r="42" spans="1:4" x14ac:dyDescent="0.25">
      <c r="A42" s="60" t="s">
        <v>125</v>
      </c>
      <c r="B42" s="61">
        <v>200250</v>
      </c>
      <c r="C42" s="62">
        <v>272772</v>
      </c>
      <c r="D42" s="63">
        <v>8.0678652504127282</v>
      </c>
    </row>
  </sheetData>
  <conditionalFormatting pivot="1" sqref="H4:H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pivot="1" sqref="F4:F13">
    <cfRule type="cellIs" dxfId="71" priority="6" operator="lessThan">
      <formula>22.68%</formula>
    </cfRule>
  </conditionalFormatting>
  <conditionalFormatting pivot="1" sqref="F4:F13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pivot="1" sqref="G4:G13">
    <cfRule type="cellIs" dxfId="70" priority="4" operator="lessThan">
      <formula>0.1836</formula>
    </cfRule>
  </conditionalFormatting>
  <conditionalFormatting pivot="1" sqref="G4:G13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pivot="1" sqref="H4:H13">
    <cfRule type="cellIs" dxfId="69" priority="2" operator="lessThan">
      <formula>0.6179</formula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972D-A332-49DF-AB5F-D571A7BD9459}">
  <dimension ref="A1:M24"/>
  <sheetViews>
    <sheetView tabSelected="1" topLeftCell="A10" workbookViewId="0">
      <selection activeCell="F20" sqref="F20"/>
    </sheetView>
  </sheetViews>
  <sheetFormatPr defaultRowHeight="15" x14ac:dyDescent="0.25"/>
  <cols>
    <col min="1" max="1" width="13.28515625" customWidth="1"/>
    <col min="2" max="2" width="18.42578125" customWidth="1"/>
    <col min="3" max="3" width="15" customWidth="1"/>
    <col min="4" max="4" width="17.28515625" customWidth="1"/>
    <col min="5" max="5" width="11.85546875" customWidth="1"/>
    <col min="6" max="7" width="23.42578125" customWidth="1"/>
    <col min="8" max="8" width="20.85546875" customWidth="1"/>
    <col min="9" max="9" width="25.85546875" customWidth="1"/>
    <col min="10" max="10" width="18.7109375" customWidth="1"/>
    <col min="11" max="11" width="26" customWidth="1"/>
    <col min="12" max="12" width="10.140625" bestFit="1" customWidth="1"/>
    <col min="13" max="13" width="15.7109375" customWidth="1"/>
  </cols>
  <sheetData>
    <row r="1" spans="1:13" ht="32.25" customHeight="1" x14ac:dyDescent="0.3">
      <c r="A1" s="33" t="s">
        <v>115</v>
      </c>
      <c r="B1" s="33" t="s">
        <v>116</v>
      </c>
      <c r="C1" s="33" t="s">
        <v>117</v>
      </c>
      <c r="D1" s="33" t="s">
        <v>119</v>
      </c>
      <c r="E1" s="33" t="s">
        <v>118</v>
      </c>
      <c r="F1" s="33" t="s">
        <v>18</v>
      </c>
      <c r="G1" s="33" t="s">
        <v>120</v>
      </c>
      <c r="H1" s="33" t="s">
        <v>121</v>
      </c>
      <c r="I1" s="33" t="s">
        <v>122</v>
      </c>
      <c r="J1" s="33" t="s">
        <v>123</v>
      </c>
    </row>
    <row r="2" spans="1:13" ht="27.95" customHeight="1" x14ac:dyDescent="0.25">
      <c r="A2" s="32" t="s">
        <v>105</v>
      </c>
      <c r="B2" s="5">
        <v>30990</v>
      </c>
      <c r="C2" s="5">
        <v>11088</v>
      </c>
      <c r="D2" s="34">
        <f t="shared" ref="D2:D11" si="0">B2-C2</f>
        <v>19902</v>
      </c>
      <c r="E2" s="5">
        <v>11358</v>
      </c>
      <c r="F2" s="34">
        <v>8231</v>
      </c>
      <c r="G2" s="34">
        <v>6906</v>
      </c>
      <c r="H2" s="35">
        <f>Table3[[#This Row],[Gross Profit.]]/Table3[[#This Row],[Revenue]]</f>
        <v>0.6422071636011617</v>
      </c>
      <c r="I2" s="35">
        <f>Table3[[#This Row],[Operating Income]]/Table3[[#This Row],[Revenue]]</f>
        <v>0.26560180703452729</v>
      </c>
      <c r="J2" s="35">
        <f t="shared" ref="J2:J11" si="1">G2/B2</f>
        <v>0.22284607938044532</v>
      </c>
    </row>
    <row r="3" spans="1:13" ht="27.95" customHeight="1" x14ac:dyDescent="0.25">
      <c r="A3" s="32" t="s">
        <v>106</v>
      </c>
      <c r="B3" s="5">
        <v>35119</v>
      </c>
      <c r="C3" s="5">
        <v>12693</v>
      </c>
      <c r="D3" s="34">
        <f t="shared" si="0"/>
        <v>22426</v>
      </c>
      <c r="E3" s="5">
        <v>13194</v>
      </c>
      <c r="F3" s="34">
        <v>8413</v>
      </c>
      <c r="G3" s="34">
        <v>11837</v>
      </c>
      <c r="H3" s="35">
        <f>Table3[[#This Row],[Gross Profit.]]/Table3[[#This Row],[Revenue]]</f>
        <v>0.63857171331757734</v>
      </c>
      <c r="I3" s="35">
        <f>Table3[[#This Row],[Operating Income]]/Table3[[#This Row],[Revenue]]</f>
        <v>0.23955693499245423</v>
      </c>
      <c r="J3" s="35">
        <f t="shared" si="1"/>
        <v>0.33705401634442894</v>
      </c>
    </row>
    <row r="4" spans="1:13" ht="27.95" customHeight="1" x14ac:dyDescent="0.25">
      <c r="A4" s="32" t="s">
        <v>107</v>
      </c>
      <c r="B4" s="5">
        <v>46542</v>
      </c>
      <c r="C4" s="5">
        <v>18215</v>
      </c>
      <c r="D4" s="34">
        <f t="shared" si="0"/>
        <v>28327</v>
      </c>
      <c r="E4" s="5">
        <v>17422</v>
      </c>
      <c r="F4" s="34">
        <v>10173</v>
      </c>
      <c r="G4" s="34">
        <v>8646</v>
      </c>
      <c r="H4" s="35">
        <f>Table3[[#This Row],[Gross Profit.]]/Table3[[#This Row],[Revenue]]</f>
        <v>0.60863306261011563</v>
      </c>
      <c r="I4" s="35">
        <f>Table3[[#This Row],[Operating Income]]/Table3[[#This Row],[Revenue]]</f>
        <v>0.21857676936960166</v>
      </c>
      <c r="J4" s="35">
        <f t="shared" si="1"/>
        <v>0.18576769369601651</v>
      </c>
    </row>
    <row r="5" spans="1:13" ht="27.95" customHeight="1" x14ac:dyDescent="0.25">
      <c r="A5" s="32" t="s">
        <v>108</v>
      </c>
      <c r="B5" s="5">
        <v>48017</v>
      </c>
      <c r="C5" s="5">
        <v>19053</v>
      </c>
      <c r="D5" s="34">
        <f t="shared" si="0"/>
        <v>28964</v>
      </c>
      <c r="E5" s="5">
        <v>17738</v>
      </c>
      <c r="F5" s="34">
        <v>10779</v>
      </c>
      <c r="G5" s="34">
        <v>9086</v>
      </c>
      <c r="H5" s="35">
        <f>Table3[[#This Row],[Gross Profit.]]/Table3[[#This Row],[Revenue]]</f>
        <v>0.60320303225940808</v>
      </c>
      <c r="I5" s="35">
        <f>Table3[[#This Row],[Operating Income]]/Table3[[#This Row],[Revenue]]</f>
        <v>0.22448299560572296</v>
      </c>
      <c r="J5" s="35">
        <f t="shared" si="1"/>
        <v>0.18922464960326552</v>
      </c>
    </row>
    <row r="6" spans="1:13" ht="27.95" customHeight="1" x14ac:dyDescent="0.25">
      <c r="A6" s="32" t="s">
        <v>109</v>
      </c>
      <c r="B6" s="5">
        <v>46854</v>
      </c>
      <c r="C6" s="5">
        <v>18421</v>
      </c>
      <c r="D6" s="34">
        <f t="shared" si="0"/>
        <v>28433</v>
      </c>
      <c r="E6" s="5">
        <v>17310</v>
      </c>
      <c r="F6" s="34">
        <v>10228</v>
      </c>
      <c r="G6" s="34">
        <v>8626</v>
      </c>
      <c r="H6" s="35">
        <f>Table3[[#This Row],[Gross Profit.]]/Table3[[#This Row],[Revenue]]</f>
        <v>0.60684253212105688</v>
      </c>
      <c r="I6" s="35">
        <f>Table3[[#This Row],[Operating Income]]/Table3[[#This Row],[Revenue]]</f>
        <v>0.21829512955137234</v>
      </c>
      <c r="J6" s="35">
        <f t="shared" si="1"/>
        <v>0.18410381184103811</v>
      </c>
    </row>
    <row r="7" spans="1:13" ht="27.95" customHeight="1" x14ac:dyDescent="0.25">
      <c r="A7" s="32" t="s">
        <v>110</v>
      </c>
      <c r="B7" s="5">
        <v>45998</v>
      </c>
      <c r="C7" s="5">
        <v>17889</v>
      </c>
      <c r="D7" s="34">
        <f t="shared" si="0"/>
        <v>28109</v>
      </c>
      <c r="E7" s="5">
        <v>17218</v>
      </c>
      <c r="F7" s="34">
        <v>9708</v>
      </c>
      <c r="G7" s="34">
        <v>7124</v>
      </c>
      <c r="H7" s="35">
        <f>Table3[[#This Row],[Gross Profit.]]/Table3[[#This Row],[Revenue]]</f>
        <v>0.61109178659941732</v>
      </c>
      <c r="I7" s="35">
        <f>Table3[[#This Row],[Operating Income]]/Table3[[#This Row],[Revenue]]</f>
        <v>0.21105265446323754</v>
      </c>
      <c r="J7" s="35">
        <f t="shared" si="1"/>
        <v>0.1548762989695204</v>
      </c>
    </row>
    <row r="8" spans="1:13" ht="27.95" customHeight="1" x14ac:dyDescent="0.25">
      <c r="A8" s="32" t="s">
        <v>111</v>
      </c>
      <c r="B8" s="5">
        <v>44294</v>
      </c>
      <c r="C8" s="5">
        <v>17482</v>
      </c>
      <c r="D8" s="34">
        <f t="shared" si="0"/>
        <v>26812</v>
      </c>
      <c r="E8" s="5">
        <v>16427</v>
      </c>
      <c r="F8" s="34">
        <v>8728</v>
      </c>
      <c r="G8" s="34">
        <v>7366</v>
      </c>
      <c r="H8" s="35">
        <f>Table3[[#This Row],[Gross Profit.]]/Table3[[#This Row],[Revenue]]</f>
        <v>0.60531900483135415</v>
      </c>
      <c r="I8" s="35">
        <f>Table3[[#This Row],[Operating Income]]/Table3[[#This Row],[Revenue]]</f>
        <v>0.19704700410890866</v>
      </c>
      <c r="J8" s="35">
        <f t="shared" si="1"/>
        <v>0.16629791845396669</v>
      </c>
    </row>
    <row r="9" spans="1:13" ht="27.95" customHeight="1" x14ac:dyDescent="0.25">
      <c r="A9" s="32" t="s">
        <v>112</v>
      </c>
      <c r="B9" s="5">
        <v>41863</v>
      </c>
      <c r="C9" s="5">
        <v>16465</v>
      </c>
      <c r="D9" s="34">
        <f t="shared" si="0"/>
        <v>25398</v>
      </c>
      <c r="E9" s="5">
        <v>15262</v>
      </c>
      <c r="F9" s="34">
        <v>8626</v>
      </c>
      <c r="G9" s="34">
        <v>6550</v>
      </c>
      <c r="H9" s="35">
        <f>Table3[[#This Row],[Gross Profit.]]/Table3[[#This Row],[Revenue]]</f>
        <v>0.60669326135250701</v>
      </c>
      <c r="I9" s="35">
        <f>Table3[[#This Row],[Operating Income]]/Table3[[#This Row],[Revenue]]</f>
        <v>0.20605307789694957</v>
      </c>
      <c r="J9" s="35">
        <f t="shared" si="1"/>
        <v>0.15646274753362158</v>
      </c>
    </row>
    <row r="10" spans="1:13" ht="27.95" customHeight="1" x14ac:dyDescent="0.25">
      <c r="A10" s="32" t="s">
        <v>113</v>
      </c>
      <c r="B10" s="5">
        <v>35410</v>
      </c>
      <c r="C10" s="5">
        <v>13255</v>
      </c>
      <c r="D10" s="34">
        <f t="shared" si="0"/>
        <v>22155</v>
      </c>
      <c r="E10" s="5">
        <v>12654</v>
      </c>
      <c r="F10" s="34">
        <v>7599</v>
      </c>
      <c r="G10" s="34">
        <v>1283</v>
      </c>
      <c r="H10" s="35">
        <f>Table3[[#This Row],[Gross Profit.]]/Table3[[#This Row],[Revenue]]</f>
        <v>0.62567071448743294</v>
      </c>
      <c r="I10" s="35">
        <f>Table3[[#This Row],[Operating Income]]/Table3[[#This Row],[Revenue]]</f>
        <v>0.21460039536853995</v>
      </c>
      <c r="J10" s="35">
        <f t="shared" si="1"/>
        <v>3.6232702626376727E-2</v>
      </c>
    </row>
    <row r="11" spans="1:13" ht="27.95" customHeight="1" x14ac:dyDescent="0.25">
      <c r="A11" s="32" t="s">
        <v>114</v>
      </c>
      <c r="B11" s="5">
        <v>31856</v>
      </c>
      <c r="C11" s="5">
        <v>11770</v>
      </c>
      <c r="D11" s="34">
        <f t="shared" si="0"/>
        <v>20086</v>
      </c>
      <c r="E11" s="5">
        <v>10307</v>
      </c>
      <c r="F11" s="34">
        <v>8700</v>
      </c>
      <c r="G11" s="34">
        <v>6476</v>
      </c>
      <c r="H11" s="35">
        <f>Table3[[#This Row],[Gross Profit.]]/Table3[[#This Row],[Revenue]]</f>
        <v>0.63052486187845302</v>
      </c>
      <c r="I11" s="35">
        <f>Table3[[#This Row],[Operating Income]]/Table3[[#This Row],[Revenue]]</f>
        <v>0.27310396785534907</v>
      </c>
      <c r="J11" s="35">
        <f t="shared" si="1"/>
        <v>0.2032898041185334</v>
      </c>
    </row>
    <row r="12" spans="1:13" x14ac:dyDescent="0.25">
      <c r="A12" s="47"/>
      <c r="B12" s="48"/>
      <c r="C12" s="48"/>
      <c r="D12" s="49"/>
      <c r="E12" s="48"/>
      <c r="F12" s="50"/>
      <c r="G12" s="49"/>
      <c r="H12" s="51">
        <f>AVERAGE(Table3[Gross Margin %])</f>
        <v>0.61787571330584845</v>
      </c>
      <c r="I12" s="51">
        <f>AVERAGE(Table3[Operating Margin %])</f>
        <v>0.22683707362466637</v>
      </c>
      <c r="J12" s="51">
        <f>AVERAGE(Table3[Net Margin %])</f>
        <v>0.18361557225672134</v>
      </c>
    </row>
    <row r="14" spans="1:13" ht="39.75" customHeight="1" thickBot="1" x14ac:dyDescent="0.35">
      <c r="A14" s="56" t="s">
        <v>115</v>
      </c>
      <c r="B14" s="53" t="s">
        <v>59</v>
      </c>
      <c r="C14" s="54" t="s">
        <v>69</v>
      </c>
      <c r="D14" s="55" t="s">
        <v>133</v>
      </c>
      <c r="H14" s="69" t="s">
        <v>115</v>
      </c>
      <c r="I14" s="25" t="s">
        <v>139</v>
      </c>
      <c r="J14" s="24" t="s">
        <v>95</v>
      </c>
      <c r="K14" s="24" t="s">
        <v>138</v>
      </c>
      <c r="L14" s="71" t="s">
        <v>137</v>
      </c>
      <c r="M14" s="71" t="s">
        <v>140</v>
      </c>
    </row>
    <row r="15" spans="1:13" ht="27.95" customHeight="1" thickTop="1" x14ac:dyDescent="0.25">
      <c r="A15" s="57" t="s">
        <v>105</v>
      </c>
      <c r="B15" s="58">
        <v>5059</v>
      </c>
      <c r="C15" s="58">
        <v>25346</v>
      </c>
      <c r="D15" s="59">
        <f>B15/C15</f>
        <v>0.19959756963623451</v>
      </c>
      <c r="H15" s="70" t="s">
        <v>105</v>
      </c>
      <c r="I15" s="22">
        <v>8186</v>
      </c>
      <c r="J15" s="20">
        <v>-3800</v>
      </c>
      <c r="K15" s="20">
        <v>-1993</v>
      </c>
      <c r="L15" s="5">
        <f>K15+I15</f>
        <v>6193</v>
      </c>
      <c r="M15" s="5">
        <f>L15+J15</f>
        <v>2393</v>
      </c>
    </row>
    <row r="16" spans="1:13" ht="27.95" customHeight="1" x14ac:dyDescent="0.25">
      <c r="A16" s="57" t="s">
        <v>106</v>
      </c>
      <c r="B16" s="58">
        <v>14041</v>
      </c>
      <c r="C16" s="58">
        <v>31317</v>
      </c>
      <c r="D16" s="59">
        <f t="shared" ref="D16:D24" si="2">B16/C16</f>
        <v>0.4483507360219689</v>
      </c>
      <c r="H16" s="70" t="s">
        <v>106</v>
      </c>
      <c r="I16" s="22">
        <v>9532</v>
      </c>
      <c r="J16" s="20">
        <v>-4068</v>
      </c>
      <c r="K16" s="20">
        <v>-2215</v>
      </c>
      <c r="L16" s="5">
        <f t="shared" ref="L16:L24" si="3">K16+I16</f>
        <v>7317</v>
      </c>
      <c r="M16" s="5">
        <f t="shared" ref="M16:M24" si="4">L16+J16</f>
        <v>3249</v>
      </c>
    </row>
    <row r="17" spans="1:13" ht="27.95" customHeight="1" x14ac:dyDescent="0.25">
      <c r="A17" s="57" t="s">
        <v>107</v>
      </c>
      <c r="B17" s="58">
        <v>13656</v>
      </c>
      <c r="C17" s="58">
        <v>31921</v>
      </c>
      <c r="D17" s="59">
        <f t="shared" si="2"/>
        <v>0.42780614642398423</v>
      </c>
      <c r="H17" s="70" t="s">
        <v>107</v>
      </c>
      <c r="I17" s="22">
        <v>9474</v>
      </c>
      <c r="J17" s="20">
        <v>-4300</v>
      </c>
      <c r="K17" s="20">
        <v>-2920</v>
      </c>
      <c r="L17" s="5">
        <f t="shared" si="3"/>
        <v>6554</v>
      </c>
      <c r="M17" s="5">
        <f t="shared" si="4"/>
        <v>2254</v>
      </c>
    </row>
    <row r="18" spans="1:13" ht="27.95" customHeight="1" x14ac:dyDescent="0.25">
      <c r="A18" s="57" t="s">
        <v>108</v>
      </c>
      <c r="B18" s="58">
        <v>14736</v>
      </c>
      <c r="C18" s="58">
        <v>33168</v>
      </c>
      <c r="D18" s="59">
        <f t="shared" si="2"/>
        <v>0.44428364688856731</v>
      </c>
      <c r="H18" s="70" t="s">
        <v>108</v>
      </c>
      <c r="I18" s="22">
        <v>10645</v>
      </c>
      <c r="J18" s="20">
        <v>-4595</v>
      </c>
      <c r="K18" s="20">
        <v>-2780</v>
      </c>
      <c r="L18" s="5">
        <f t="shared" si="3"/>
        <v>7865</v>
      </c>
      <c r="M18" s="5">
        <f t="shared" si="4"/>
        <v>3270</v>
      </c>
    </row>
    <row r="19" spans="1:13" ht="27.95" customHeight="1" x14ac:dyDescent="0.25">
      <c r="A19" s="57" t="s">
        <v>109</v>
      </c>
      <c r="B19" s="58">
        <v>19154</v>
      </c>
      <c r="C19" s="58">
        <v>33440</v>
      </c>
      <c r="D19" s="59">
        <f t="shared" si="2"/>
        <v>0.5727870813397129</v>
      </c>
      <c r="H19" s="70" t="s">
        <v>109</v>
      </c>
      <c r="I19" s="22">
        <v>10542</v>
      </c>
      <c r="J19" s="20">
        <v>-4969</v>
      </c>
      <c r="K19" s="20">
        <v>-2550</v>
      </c>
      <c r="L19" s="5">
        <f t="shared" si="3"/>
        <v>7992</v>
      </c>
      <c r="M19" s="5">
        <f t="shared" si="4"/>
        <v>3023</v>
      </c>
    </row>
    <row r="20" spans="1:13" ht="27.95" customHeight="1" x14ac:dyDescent="0.25">
      <c r="A20" s="57" t="s">
        <v>110</v>
      </c>
      <c r="B20" s="58">
        <v>19063</v>
      </c>
      <c r="C20" s="58">
        <v>30561</v>
      </c>
      <c r="D20" s="59">
        <f t="shared" si="2"/>
        <v>0.62376885573116059</v>
      </c>
      <c r="H20" s="70" t="s">
        <v>110</v>
      </c>
      <c r="I20" s="22">
        <v>10615</v>
      </c>
      <c r="J20" s="20">
        <v>-5350</v>
      </c>
      <c r="K20" s="20">
        <v>-2406</v>
      </c>
      <c r="L20" s="5">
        <f t="shared" si="3"/>
        <v>8209</v>
      </c>
      <c r="M20" s="5">
        <f t="shared" si="4"/>
        <v>2859</v>
      </c>
    </row>
    <row r="21" spans="1:13" ht="27.95" customHeight="1" x14ac:dyDescent="0.25">
      <c r="A21" s="57" t="s">
        <v>111</v>
      </c>
      <c r="B21" s="58">
        <v>28311</v>
      </c>
      <c r="C21" s="58">
        <v>25764</v>
      </c>
      <c r="D21" s="59">
        <f t="shared" si="2"/>
        <v>1.0988588728458315</v>
      </c>
      <c r="H21" s="70" t="s">
        <v>111</v>
      </c>
      <c r="I21" s="22">
        <v>10528</v>
      </c>
      <c r="J21" s="20">
        <v>-5741</v>
      </c>
      <c r="K21" s="20">
        <v>-2553</v>
      </c>
      <c r="L21" s="5">
        <f t="shared" si="3"/>
        <v>7975</v>
      </c>
      <c r="M21" s="5">
        <f t="shared" si="4"/>
        <v>2234</v>
      </c>
    </row>
    <row r="22" spans="1:13" ht="27.95" customHeight="1" x14ac:dyDescent="0.25">
      <c r="A22" s="57" t="s">
        <v>112</v>
      </c>
      <c r="B22" s="58">
        <v>29684</v>
      </c>
      <c r="C22" s="58">
        <v>23220</v>
      </c>
      <c r="D22" s="59">
        <f t="shared" si="2"/>
        <v>1.2783807062876831</v>
      </c>
      <c r="H22" s="70" t="s">
        <v>112</v>
      </c>
      <c r="I22" s="22">
        <v>8796</v>
      </c>
      <c r="J22" s="20">
        <v>-6043</v>
      </c>
      <c r="K22" s="20">
        <v>-2262</v>
      </c>
      <c r="L22" s="5">
        <f t="shared" si="3"/>
        <v>6534</v>
      </c>
      <c r="M22" s="5">
        <f t="shared" si="4"/>
        <v>491</v>
      </c>
    </row>
    <row r="23" spans="1:13" ht="27.95" customHeight="1" x14ac:dyDescent="0.25">
      <c r="A23" s="57" t="s">
        <v>113</v>
      </c>
      <c r="B23" s="58">
        <v>31182</v>
      </c>
      <c r="C23" s="58">
        <v>18977</v>
      </c>
      <c r="D23" s="59">
        <f t="shared" si="2"/>
        <v>1.6431469673815671</v>
      </c>
      <c r="H23" s="70" t="s">
        <v>113</v>
      </c>
      <c r="I23" s="22">
        <v>6930</v>
      </c>
      <c r="J23" s="20">
        <v>-6320</v>
      </c>
      <c r="K23" s="20">
        <v>-1675</v>
      </c>
      <c r="L23" s="5">
        <f t="shared" si="3"/>
        <v>5255</v>
      </c>
      <c r="M23" s="5">
        <f t="shared" si="4"/>
        <v>-1065</v>
      </c>
    </row>
    <row r="24" spans="1:13" ht="27.95" customHeight="1" x14ac:dyDescent="0.25">
      <c r="A24" s="57" t="s">
        <v>114</v>
      </c>
      <c r="B24" s="58">
        <v>25364</v>
      </c>
      <c r="C24" s="58">
        <v>19058</v>
      </c>
      <c r="D24" s="59">
        <f t="shared" si="2"/>
        <v>1.3308846678560184</v>
      </c>
      <c r="H24" s="70" t="s">
        <v>114</v>
      </c>
      <c r="I24" s="23">
        <v>7320</v>
      </c>
      <c r="J24" s="21">
        <v>-6644</v>
      </c>
      <c r="K24" s="21">
        <v>-1347</v>
      </c>
      <c r="L24" s="5">
        <f t="shared" si="3"/>
        <v>5973</v>
      </c>
      <c r="M24" s="5">
        <f t="shared" si="4"/>
        <v>-671</v>
      </c>
    </row>
  </sheetData>
  <phoneticPr fontId="5" type="noConversion"/>
  <conditionalFormatting sqref="D15:D24">
    <cfRule type="cellIs" dxfId="0" priority="1" operator="greaterThan">
      <formula>1</formula>
    </cfRule>
  </conditionalFormatting>
  <conditionalFormatting sqref="N9">
    <cfRule type="iconSet" priority="9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BBF0-BC73-46F8-8BB0-39525673A0FF}">
  <dimension ref="A1:AK12"/>
  <sheetViews>
    <sheetView workbookViewId="0">
      <selection activeCell="F17" sqref="F17"/>
    </sheetView>
  </sheetViews>
  <sheetFormatPr defaultRowHeight="15" x14ac:dyDescent="0.25"/>
  <cols>
    <col min="1" max="1" width="6.5703125" bestFit="1" customWidth="1"/>
    <col min="2" max="2" width="20.85546875" bestFit="1" customWidth="1"/>
    <col min="3" max="3" width="18.140625" bestFit="1" customWidth="1"/>
    <col min="4" max="4" width="33.42578125" bestFit="1" customWidth="1"/>
    <col min="5" max="5" width="29.28515625" bestFit="1" customWidth="1"/>
    <col min="6" max="6" width="27.85546875" bestFit="1" customWidth="1"/>
    <col min="7" max="7" width="17.5703125" bestFit="1" customWidth="1"/>
    <col min="8" max="8" width="28.85546875" bestFit="1" customWidth="1"/>
    <col min="9" max="9" width="17.7109375" bestFit="1" customWidth="1"/>
    <col min="10" max="10" width="44" bestFit="1" customWidth="1"/>
    <col min="11" max="11" width="32.42578125" bestFit="1" customWidth="1"/>
    <col min="12" max="12" width="17" bestFit="1" customWidth="1"/>
    <col min="13" max="13" width="8.28515625" bestFit="1" customWidth="1"/>
    <col min="14" max="14" width="36.140625" bestFit="1" customWidth="1"/>
    <col min="15" max="15" width="32.7109375" bestFit="1" customWidth="1"/>
    <col min="16" max="16" width="24.85546875" bestFit="1" customWidth="1"/>
    <col min="17" max="17" width="13.42578125" bestFit="1" customWidth="1"/>
    <col min="18" max="18" width="27.5703125" bestFit="1" customWidth="1"/>
    <col min="19" max="19" width="76.42578125" bestFit="1" customWidth="1"/>
    <col min="20" max="20" width="88.42578125" bestFit="1" customWidth="1"/>
    <col min="21" max="21" width="34" bestFit="1" customWidth="1"/>
    <col min="22" max="22" width="48.140625" bestFit="1" customWidth="1"/>
    <col min="23" max="23" width="16.28515625" bestFit="1" customWidth="1"/>
    <col min="24" max="24" width="41.28515625" bestFit="1" customWidth="1"/>
    <col min="25" max="25" width="12.5703125" bestFit="1" customWidth="1"/>
    <col min="26" max="26" width="13.28515625" bestFit="1" customWidth="1"/>
    <col min="27" max="27" width="12.5703125" bestFit="1" customWidth="1"/>
    <col min="28" max="28" width="22.85546875" bestFit="1" customWidth="1"/>
    <col min="29" max="29" width="9.85546875" bestFit="1" customWidth="1"/>
    <col min="30" max="30" width="16.42578125" bestFit="1" customWidth="1"/>
    <col min="31" max="31" width="41.42578125" bestFit="1" customWidth="1"/>
    <col min="32" max="32" width="62.85546875" bestFit="1" customWidth="1"/>
    <col min="33" max="33" width="50.42578125" bestFit="1" customWidth="1"/>
    <col min="34" max="34" width="61.7109375" bestFit="1" customWidth="1"/>
    <col min="35" max="35" width="62.140625" bestFit="1" customWidth="1"/>
    <col min="36" max="36" width="45.7109375" bestFit="1" customWidth="1"/>
    <col min="37" max="37" width="35.42578125" bestFit="1" customWidth="1"/>
  </cols>
  <sheetData>
    <row r="1" spans="1:37" x14ac:dyDescent="0.25">
      <c r="B1" t="s">
        <v>71</v>
      </c>
    </row>
    <row r="2" spans="1:37" s="28" customFormat="1" ht="59.25" customHeight="1" x14ac:dyDescent="0.25">
      <c r="B2" s="24" t="s">
        <v>25</v>
      </c>
      <c r="C2" s="24" t="s">
        <v>72</v>
      </c>
      <c r="D2" s="24" t="s">
        <v>73</v>
      </c>
      <c r="E2" s="24" t="s">
        <v>27</v>
      </c>
      <c r="F2" s="24" t="s">
        <v>74</v>
      </c>
      <c r="G2" s="24" t="s">
        <v>61</v>
      </c>
      <c r="H2" s="24" t="s">
        <v>75</v>
      </c>
      <c r="I2" s="24" t="s">
        <v>76</v>
      </c>
      <c r="J2" s="24" t="s">
        <v>77</v>
      </c>
      <c r="K2" s="24" t="s">
        <v>78</v>
      </c>
      <c r="L2" s="24" t="s">
        <v>17</v>
      </c>
      <c r="M2" s="24" t="s">
        <v>79</v>
      </c>
      <c r="N2" s="24" t="s">
        <v>80</v>
      </c>
      <c r="O2" s="25" t="s">
        <v>81</v>
      </c>
      <c r="P2" s="24" t="s">
        <v>82</v>
      </c>
      <c r="Q2" s="24" t="s">
        <v>83</v>
      </c>
      <c r="R2" s="24" t="s">
        <v>84</v>
      </c>
      <c r="S2" s="24" t="s">
        <v>85</v>
      </c>
      <c r="T2" s="24" t="s">
        <v>86</v>
      </c>
      <c r="U2" s="24" t="s">
        <v>87</v>
      </c>
      <c r="V2" s="24" t="s">
        <v>88</v>
      </c>
      <c r="W2" s="24" t="s">
        <v>89</v>
      </c>
      <c r="X2" s="25" t="s">
        <v>90</v>
      </c>
      <c r="Y2" s="24" t="s">
        <v>91</v>
      </c>
      <c r="Z2" s="24" t="s">
        <v>92</v>
      </c>
      <c r="AA2" s="24" t="s">
        <v>93</v>
      </c>
      <c r="AB2" s="24" t="s">
        <v>94</v>
      </c>
      <c r="AC2" s="24" t="s">
        <v>95</v>
      </c>
      <c r="AD2" s="24" t="s">
        <v>96</v>
      </c>
      <c r="AE2" s="25" t="s">
        <v>97</v>
      </c>
      <c r="AF2" s="24" t="s">
        <v>98</v>
      </c>
      <c r="AG2" s="24" t="s">
        <v>99</v>
      </c>
      <c r="AH2" s="24" t="s">
        <v>100</v>
      </c>
      <c r="AI2" s="24" t="s">
        <v>101</v>
      </c>
      <c r="AJ2" s="24" t="s">
        <v>102</v>
      </c>
      <c r="AK2" s="31" t="s">
        <v>103</v>
      </c>
    </row>
    <row r="3" spans="1:37" ht="27.95" customHeight="1" x14ac:dyDescent="0.25">
      <c r="A3" s="18" t="s">
        <v>3</v>
      </c>
      <c r="B3" s="20">
        <v>6906</v>
      </c>
      <c r="C3" s="20">
        <v>1236</v>
      </c>
      <c r="D3" s="20"/>
      <c r="E3" s="20"/>
      <c r="F3" s="20">
        <v>241</v>
      </c>
      <c r="G3" s="20">
        <v>353</v>
      </c>
      <c r="H3" s="20">
        <v>-359</v>
      </c>
      <c r="I3" s="20">
        <v>61</v>
      </c>
      <c r="J3" s="20">
        <v>-43</v>
      </c>
      <c r="K3" s="20">
        <v>0</v>
      </c>
      <c r="L3" s="20">
        <v>134</v>
      </c>
      <c r="M3" s="20">
        <v>221</v>
      </c>
      <c r="N3" s="20">
        <v>-564</v>
      </c>
      <c r="O3" s="22">
        <v>8186</v>
      </c>
      <c r="P3" s="20">
        <v>-2130</v>
      </c>
      <c r="Q3" s="20">
        <v>-22</v>
      </c>
      <c r="R3" s="20">
        <v>0</v>
      </c>
      <c r="S3" s="20">
        <v>-300</v>
      </c>
      <c r="T3" s="20">
        <v>240</v>
      </c>
      <c r="U3" s="20">
        <v>-1993</v>
      </c>
      <c r="V3" s="20">
        <v>104</v>
      </c>
      <c r="W3" s="20">
        <v>-48</v>
      </c>
      <c r="X3" s="22">
        <v>-4149</v>
      </c>
      <c r="Y3" s="20">
        <v>14689</v>
      </c>
      <c r="Z3" s="20">
        <v>-12326</v>
      </c>
      <c r="AA3" s="20">
        <v>664</v>
      </c>
      <c r="AB3" s="20">
        <v>-1518</v>
      </c>
      <c r="AC3" s="20">
        <v>-3800</v>
      </c>
      <c r="AD3" s="20">
        <v>-2</v>
      </c>
      <c r="AE3" s="22">
        <v>-2293</v>
      </c>
      <c r="AF3" s="20"/>
      <c r="AG3" s="20">
        <v>576</v>
      </c>
      <c r="AH3" s="20"/>
      <c r="AI3" s="20"/>
      <c r="AJ3" s="20"/>
      <c r="AK3" s="29">
        <v>2320</v>
      </c>
    </row>
    <row r="4" spans="1:37" ht="27.95" customHeight="1" x14ac:dyDescent="0.25">
      <c r="A4" s="18" t="s">
        <v>4</v>
      </c>
      <c r="B4" s="20">
        <v>11837</v>
      </c>
      <c r="C4" s="20">
        <v>1443</v>
      </c>
      <c r="D4" s="20"/>
      <c r="E4" s="20"/>
      <c r="F4" s="20">
        <v>380</v>
      </c>
      <c r="G4" s="20">
        <v>604</v>
      </c>
      <c r="H4" s="20">
        <v>-671</v>
      </c>
      <c r="I4" s="20">
        <v>151</v>
      </c>
      <c r="J4" s="20">
        <v>-645</v>
      </c>
      <c r="K4" s="20">
        <v>-4713</v>
      </c>
      <c r="L4" s="20">
        <v>264</v>
      </c>
      <c r="M4" s="20">
        <v>512</v>
      </c>
      <c r="N4" s="20">
        <v>370</v>
      </c>
      <c r="O4" s="22">
        <v>9532</v>
      </c>
      <c r="P4" s="20">
        <v>-4579</v>
      </c>
      <c r="Q4" s="20">
        <v>-132</v>
      </c>
      <c r="R4" s="20">
        <v>4032</v>
      </c>
      <c r="S4" s="20">
        <v>-2511</v>
      </c>
      <c r="T4" s="20">
        <v>972</v>
      </c>
      <c r="U4" s="20">
        <v>-2215</v>
      </c>
      <c r="V4" s="20">
        <v>134</v>
      </c>
      <c r="W4" s="20">
        <v>-106</v>
      </c>
      <c r="X4" s="22">
        <v>-4405</v>
      </c>
      <c r="Y4" s="20">
        <v>15251</v>
      </c>
      <c r="Z4" s="20">
        <v>-13403</v>
      </c>
      <c r="AA4" s="20">
        <v>1666</v>
      </c>
      <c r="AB4" s="20">
        <v>-2961</v>
      </c>
      <c r="AC4" s="20">
        <v>-4068</v>
      </c>
      <c r="AD4" s="20">
        <v>50</v>
      </c>
      <c r="AE4" s="22">
        <v>-3465</v>
      </c>
      <c r="AF4" s="20"/>
      <c r="AG4" s="20">
        <v>-166</v>
      </c>
      <c r="AH4" s="20"/>
      <c r="AI4" s="20"/>
      <c r="AJ4" s="20"/>
      <c r="AK4" s="29">
        <v>1496</v>
      </c>
    </row>
    <row r="5" spans="1:37" ht="27.95" customHeight="1" x14ac:dyDescent="0.25">
      <c r="A5" s="18" t="s">
        <v>5</v>
      </c>
      <c r="B5" s="20">
        <v>8646</v>
      </c>
      <c r="C5" s="20">
        <v>1954</v>
      </c>
      <c r="D5" s="20"/>
      <c r="E5" s="20"/>
      <c r="F5" s="20">
        <v>354</v>
      </c>
      <c r="G5" s="20">
        <v>1035</v>
      </c>
      <c r="H5" s="20">
        <v>-269</v>
      </c>
      <c r="I5" s="20">
        <v>7</v>
      </c>
      <c r="J5" s="20">
        <v>-220</v>
      </c>
      <c r="K5" s="20"/>
      <c r="L5" s="20">
        <v>214</v>
      </c>
      <c r="M5" s="20">
        <v>-354</v>
      </c>
      <c r="N5" s="20">
        <v>-1893</v>
      </c>
      <c r="O5" s="22">
        <v>9474</v>
      </c>
      <c r="P5" s="20"/>
      <c r="Q5" s="20">
        <v>-4798</v>
      </c>
      <c r="R5" s="20">
        <v>5811</v>
      </c>
      <c r="S5" s="20">
        <v>-971</v>
      </c>
      <c r="T5" s="20">
        <v>398</v>
      </c>
      <c r="U5" s="20">
        <v>-2920</v>
      </c>
      <c r="V5" s="20">
        <v>101</v>
      </c>
      <c r="W5" s="20">
        <v>-145</v>
      </c>
      <c r="X5" s="22">
        <v>-2524</v>
      </c>
      <c r="Y5" s="20">
        <v>27495</v>
      </c>
      <c r="Z5" s="20">
        <v>-22530</v>
      </c>
      <c r="AA5" s="20">
        <v>1569</v>
      </c>
      <c r="AB5" s="20">
        <v>-4513</v>
      </c>
      <c r="AC5" s="20">
        <v>-4300</v>
      </c>
      <c r="AD5" s="20">
        <v>45</v>
      </c>
      <c r="AE5" s="22">
        <v>-2234</v>
      </c>
      <c r="AF5" s="20"/>
      <c r="AG5" s="20">
        <v>-430</v>
      </c>
      <c r="AH5" s="20"/>
      <c r="AI5" s="20"/>
      <c r="AJ5" s="20"/>
      <c r="AK5" s="29">
        <v>4286</v>
      </c>
    </row>
    <row r="6" spans="1:37" ht="27.95" customHeight="1" x14ac:dyDescent="0.25">
      <c r="A6" s="18" t="s">
        <v>6</v>
      </c>
      <c r="B6" s="20">
        <v>9086</v>
      </c>
      <c r="C6" s="20">
        <v>1982</v>
      </c>
      <c r="D6" s="20"/>
      <c r="E6" s="20"/>
      <c r="F6" s="20">
        <v>259</v>
      </c>
      <c r="G6" s="20">
        <v>632</v>
      </c>
      <c r="H6" s="20">
        <v>-426</v>
      </c>
      <c r="I6" s="20">
        <v>-130</v>
      </c>
      <c r="J6" s="20">
        <v>-98</v>
      </c>
      <c r="K6" s="20"/>
      <c r="L6" s="20">
        <v>166</v>
      </c>
      <c r="M6" s="20">
        <v>254</v>
      </c>
      <c r="N6" s="20">
        <v>-1080</v>
      </c>
      <c r="O6" s="22">
        <v>10645</v>
      </c>
      <c r="P6" s="20"/>
      <c r="Q6" s="20">
        <v>-14824</v>
      </c>
      <c r="R6" s="20">
        <v>7791</v>
      </c>
      <c r="S6" s="20">
        <v>-1486</v>
      </c>
      <c r="T6" s="20">
        <v>20</v>
      </c>
      <c r="U6" s="20">
        <v>-2780</v>
      </c>
      <c r="V6" s="20">
        <v>143</v>
      </c>
      <c r="W6" s="20">
        <v>-268</v>
      </c>
      <c r="X6" s="22">
        <v>-11404</v>
      </c>
      <c r="Y6" s="20">
        <v>42791</v>
      </c>
      <c r="Z6" s="20">
        <v>-38573</v>
      </c>
      <c r="AA6" s="20">
        <v>1489</v>
      </c>
      <c r="AB6" s="20">
        <v>-4559</v>
      </c>
      <c r="AC6" s="20">
        <v>-4595</v>
      </c>
      <c r="AD6" s="20">
        <v>100</v>
      </c>
      <c r="AE6" s="22">
        <v>-3347</v>
      </c>
      <c r="AF6" s="20"/>
      <c r="AG6" s="20">
        <v>-255</v>
      </c>
      <c r="AH6" s="20"/>
      <c r="AI6" s="20"/>
      <c r="AJ6" s="20"/>
      <c r="AK6" s="29">
        <v>-4361</v>
      </c>
    </row>
    <row r="7" spans="1:37" ht="27.95" customHeight="1" x14ac:dyDescent="0.25">
      <c r="A7" s="18" t="s">
        <v>7</v>
      </c>
      <c r="B7" s="20">
        <v>8626</v>
      </c>
      <c r="C7" s="20">
        <v>1977</v>
      </c>
      <c r="D7" s="20"/>
      <c r="E7" s="20"/>
      <c r="F7" s="20">
        <v>227</v>
      </c>
      <c r="G7" s="20">
        <v>648</v>
      </c>
      <c r="H7" s="20">
        <v>-201</v>
      </c>
      <c r="I7" s="20">
        <v>168</v>
      </c>
      <c r="J7" s="20">
        <v>-670</v>
      </c>
      <c r="K7" s="20"/>
      <c r="L7" s="20">
        <v>465</v>
      </c>
      <c r="M7" s="20">
        <v>234</v>
      </c>
      <c r="N7" s="20">
        <v>-932</v>
      </c>
      <c r="O7" s="22">
        <v>10542</v>
      </c>
      <c r="P7" s="20"/>
      <c r="Q7" s="20">
        <v>-14782</v>
      </c>
      <c r="R7" s="20">
        <v>12791</v>
      </c>
      <c r="S7" s="20">
        <v>-353</v>
      </c>
      <c r="T7" s="20">
        <v>872</v>
      </c>
      <c r="U7" s="20">
        <v>-2550</v>
      </c>
      <c r="V7" s="20">
        <v>111</v>
      </c>
      <c r="W7" s="20">
        <v>-303</v>
      </c>
      <c r="X7" s="22">
        <v>-4214</v>
      </c>
      <c r="Y7" s="20">
        <v>43425</v>
      </c>
      <c r="Z7" s="20">
        <v>-38714</v>
      </c>
      <c r="AA7" s="20">
        <v>1328</v>
      </c>
      <c r="AB7" s="20">
        <v>-4832</v>
      </c>
      <c r="AC7" s="20">
        <v>-4969</v>
      </c>
      <c r="AD7" s="20">
        <v>17</v>
      </c>
      <c r="AE7" s="22">
        <v>-3745</v>
      </c>
      <c r="AF7" s="20"/>
      <c r="AG7" s="20">
        <v>-611</v>
      </c>
      <c r="AH7" s="20"/>
      <c r="AI7" s="20"/>
      <c r="AJ7" s="20"/>
      <c r="AK7" s="29">
        <v>1972</v>
      </c>
    </row>
    <row r="8" spans="1:37" ht="27.95" customHeight="1" x14ac:dyDescent="0.25">
      <c r="A8" s="18" t="s">
        <v>8</v>
      </c>
      <c r="B8" s="20">
        <v>7124</v>
      </c>
      <c r="C8" s="20">
        <v>1976</v>
      </c>
      <c r="D8" s="20"/>
      <c r="E8" s="20"/>
      <c r="F8" s="20">
        <v>209</v>
      </c>
      <c r="G8" s="20">
        <v>-40</v>
      </c>
      <c r="H8" s="20">
        <v>-371</v>
      </c>
      <c r="I8" s="20">
        <v>415</v>
      </c>
      <c r="J8" s="20">
        <v>831</v>
      </c>
      <c r="K8" s="20"/>
      <c r="L8" s="20">
        <v>761</v>
      </c>
      <c r="M8" s="20">
        <v>149</v>
      </c>
      <c r="N8" s="20">
        <v>-439</v>
      </c>
      <c r="O8" s="22">
        <v>10615</v>
      </c>
      <c r="P8" s="20"/>
      <c r="Q8" s="20">
        <v>-17800</v>
      </c>
      <c r="R8" s="20">
        <v>12986</v>
      </c>
      <c r="S8" s="20">
        <v>-389</v>
      </c>
      <c r="T8" s="20">
        <v>148</v>
      </c>
      <c r="U8" s="20">
        <v>-2406</v>
      </c>
      <c r="V8" s="20">
        <v>223</v>
      </c>
      <c r="W8" s="20">
        <v>-268</v>
      </c>
      <c r="X8" s="22">
        <v>-7506</v>
      </c>
      <c r="Y8" s="20">
        <v>41674</v>
      </c>
      <c r="Z8" s="20">
        <v>-36962</v>
      </c>
      <c r="AA8" s="20">
        <v>1532</v>
      </c>
      <c r="AB8" s="20">
        <v>-4162</v>
      </c>
      <c r="AC8" s="20">
        <v>-5350</v>
      </c>
      <c r="AD8" s="20">
        <v>-363</v>
      </c>
      <c r="AE8" s="22">
        <v>-3631</v>
      </c>
      <c r="AF8" s="20"/>
      <c r="AG8" s="20">
        <v>-934</v>
      </c>
      <c r="AH8" s="20"/>
      <c r="AI8" s="20"/>
      <c r="AJ8" s="20"/>
      <c r="AK8" s="29">
        <v>-1456</v>
      </c>
    </row>
    <row r="9" spans="1:37" ht="27.95" customHeight="1" x14ac:dyDescent="0.25">
      <c r="A9" s="18" t="s">
        <v>9</v>
      </c>
      <c r="B9" s="20">
        <v>7366</v>
      </c>
      <c r="C9" s="20">
        <v>1970</v>
      </c>
      <c r="D9" s="20">
        <v>0</v>
      </c>
      <c r="E9" s="20">
        <v>7366</v>
      </c>
      <c r="F9" s="20">
        <v>236</v>
      </c>
      <c r="G9" s="20">
        <v>73</v>
      </c>
      <c r="H9" s="20">
        <v>-122</v>
      </c>
      <c r="I9" s="20">
        <v>-137</v>
      </c>
      <c r="J9" s="20">
        <v>-374</v>
      </c>
      <c r="K9" s="20"/>
      <c r="L9" s="20">
        <v>929</v>
      </c>
      <c r="M9" s="20">
        <v>744</v>
      </c>
      <c r="N9" s="20">
        <v>-157</v>
      </c>
      <c r="O9" s="22">
        <v>10528</v>
      </c>
      <c r="P9" s="20"/>
      <c r="Q9" s="20">
        <v>-15831</v>
      </c>
      <c r="R9" s="20">
        <v>14079</v>
      </c>
      <c r="S9" s="20">
        <v>-2491</v>
      </c>
      <c r="T9" s="20">
        <v>565</v>
      </c>
      <c r="U9" s="20">
        <v>-2553</v>
      </c>
      <c r="V9" s="20">
        <v>85</v>
      </c>
      <c r="W9" s="20">
        <v>-40</v>
      </c>
      <c r="X9" s="22">
        <v>-6186</v>
      </c>
      <c r="Y9" s="20">
        <v>40434</v>
      </c>
      <c r="Z9" s="20">
        <v>-37738</v>
      </c>
      <c r="AA9" s="20">
        <v>1245</v>
      </c>
      <c r="AB9" s="20">
        <v>-3564</v>
      </c>
      <c r="AC9" s="20">
        <v>-5741</v>
      </c>
      <c r="AD9" s="20">
        <v>251</v>
      </c>
      <c r="AE9" s="22">
        <v>-5113</v>
      </c>
      <c r="AF9" s="20">
        <v>0</v>
      </c>
      <c r="AG9" s="20">
        <v>-878</v>
      </c>
      <c r="AH9" s="20">
        <v>0</v>
      </c>
      <c r="AI9" s="20">
        <v>0</v>
      </c>
      <c r="AJ9" s="20">
        <v>0</v>
      </c>
      <c r="AK9" s="29">
        <v>-1649</v>
      </c>
    </row>
    <row r="10" spans="1:37" ht="27.95" customHeight="1" x14ac:dyDescent="0.25">
      <c r="A10" s="18" t="s">
        <v>10</v>
      </c>
      <c r="B10" s="20">
        <v>6550</v>
      </c>
      <c r="C10" s="20">
        <v>1787</v>
      </c>
      <c r="D10" s="20">
        <v>0</v>
      </c>
      <c r="E10" s="20">
        <v>6550</v>
      </c>
      <c r="F10" s="20">
        <v>258</v>
      </c>
      <c r="G10" s="20">
        <v>-856</v>
      </c>
      <c r="H10" s="20">
        <v>-449</v>
      </c>
      <c r="I10" s="20">
        <v>158</v>
      </c>
      <c r="J10" s="20">
        <v>1146</v>
      </c>
      <c r="K10" s="20"/>
      <c r="L10" s="20">
        <v>647</v>
      </c>
      <c r="M10" s="20">
        <v>-224</v>
      </c>
      <c r="N10" s="20">
        <v>-221</v>
      </c>
      <c r="O10" s="22">
        <v>8796</v>
      </c>
      <c r="P10" s="20"/>
      <c r="Q10" s="20">
        <v>-15499</v>
      </c>
      <c r="R10" s="20">
        <v>16624</v>
      </c>
      <c r="S10" s="20">
        <v>-838</v>
      </c>
      <c r="T10" s="20">
        <v>1035</v>
      </c>
      <c r="U10" s="20">
        <v>-2262</v>
      </c>
      <c r="V10" s="20">
        <v>150</v>
      </c>
      <c r="W10" s="20">
        <v>-209</v>
      </c>
      <c r="X10" s="22">
        <v>-999</v>
      </c>
      <c r="Y10" s="20">
        <v>27281</v>
      </c>
      <c r="Z10" s="20">
        <v>-25615</v>
      </c>
      <c r="AA10" s="20">
        <v>1434</v>
      </c>
      <c r="AB10" s="20">
        <v>-3681</v>
      </c>
      <c r="AC10" s="20">
        <v>-6043</v>
      </c>
      <c r="AD10" s="20">
        <v>79</v>
      </c>
      <c r="AE10" s="22">
        <v>-6545</v>
      </c>
      <c r="AF10" s="20">
        <v>0</v>
      </c>
      <c r="AG10" s="20">
        <v>-6</v>
      </c>
      <c r="AH10" s="20">
        <v>0</v>
      </c>
      <c r="AI10" s="20">
        <v>0</v>
      </c>
      <c r="AJ10" s="20">
        <v>0</v>
      </c>
      <c r="AK10" s="29">
        <v>1246</v>
      </c>
    </row>
    <row r="11" spans="1:37" ht="27.95" customHeight="1" x14ac:dyDescent="0.25">
      <c r="A11" s="18" t="s">
        <v>11</v>
      </c>
      <c r="B11" s="20">
        <v>1283</v>
      </c>
      <c r="C11" s="20">
        <v>1260</v>
      </c>
      <c r="D11" s="20">
        <v>-101</v>
      </c>
      <c r="E11" s="20">
        <v>1182</v>
      </c>
      <c r="F11" s="20">
        <v>219</v>
      </c>
      <c r="G11" s="20">
        <v>-1256</v>
      </c>
      <c r="H11" s="20">
        <v>-628</v>
      </c>
      <c r="I11" s="20">
        <v>281</v>
      </c>
      <c r="J11" s="20">
        <v>1459</v>
      </c>
      <c r="K11" s="20"/>
      <c r="L11" s="20">
        <v>1218</v>
      </c>
      <c r="M11" s="20">
        <v>-269</v>
      </c>
      <c r="N11" s="20">
        <v>3464</v>
      </c>
      <c r="O11" s="22">
        <v>6930</v>
      </c>
      <c r="P11" s="20"/>
      <c r="Q11" s="20">
        <v>-17296</v>
      </c>
      <c r="R11" s="20">
        <v>16694</v>
      </c>
      <c r="S11" s="20">
        <v>-3809</v>
      </c>
      <c r="T11" s="20">
        <v>3821</v>
      </c>
      <c r="U11" s="20">
        <v>-1675</v>
      </c>
      <c r="V11" s="20">
        <v>104</v>
      </c>
      <c r="W11" s="20">
        <v>-93</v>
      </c>
      <c r="X11" s="22">
        <v>-2254</v>
      </c>
      <c r="Y11" s="20">
        <v>29857</v>
      </c>
      <c r="Z11" s="20">
        <v>-28768</v>
      </c>
      <c r="AA11" s="20">
        <v>1595</v>
      </c>
      <c r="AB11" s="20">
        <v>-3682</v>
      </c>
      <c r="AC11" s="20">
        <v>-6320</v>
      </c>
      <c r="AD11" s="20">
        <v>-91</v>
      </c>
      <c r="AE11" s="22">
        <v>-7409</v>
      </c>
      <c r="AF11" s="20">
        <v>111</v>
      </c>
      <c r="AG11" s="20">
        <v>241</v>
      </c>
      <c r="AH11" s="20">
        <v>-58</v>
      </c>
      <c r="AI11" s="20">
        <v>-38</v>
      </c>
      <c r="AJ11" s="20">
        <v>15</v>
      </c>
      <c r="AK11" s="29">
        <v>-2477</v>
      </c>
    </row>
    <row r="12" spans="1:37" ht="27.95" customHeight="1" x14ac:dyDescent="0.25">
      <c r="A12" s="19" t="s">
        <v>12</v>
      </c>
      <c r="B12" s="21">
        <v>6476</v>
      </c>
      <c r="C12" s="21">
        <v>1086</v>
      </c>
      <c r="D12" s="21">
        <v>251</v>
      </c>
      <c r="E12" s="21">
        <v>6727</v>
      </c>
      <c r="F12" s="21">
        <v>225</v>
      </c>
      <c r="G12" s="21">
        <v>-450</v>
      </c>
      <c r="H12" s="21">
        <v>-457</v>
      </c>
      <c r="I12" s="21">
        <v>-38</v>
      </c>
      <c r="J12" s="21">
        <v>189</v>
      </c>
      <c r="K12" s="21"/>
      <c r="L12" s="21">
        <v>558</v>
      </c>
      <c r="M12" s="21">
        <v>682</v>
      </c>
      <c r="N12" s="21">
        <v>-1202</v>
      </c>
      <c r="O12" s="23">
        <v>7320</v>
      </c>
      <c r="P12" s="21"/>
      <c r="Q12" s="21">
        <v>-7789</v>
      </c>
      <c r="R12" s="21">
        <v>14977</v>
      </c>
      <c r="S12" s="21">
        <v>-1040</v>
      </c>
      <c r="T12" s="21">
        <v>1362</v>
      </c>
      <c r="U12" s="21">
        <v>-1347</v>
      </c>
      <c r="V12" s="21">
        <v>245</v>
      </c>
      <c r="W12" s="21">
        <v>-60</v>
      </c>
      <c r="X12" s="23">
        <v>6348</v>
      </c>
      <c r="Y12" s="21">
        <v>27339</v>
      </c>
      <c r="Z12" s="21">
        <v>-30568</v>
      </c>
      <c r="AA12" s="21">
        <v>1476</v>
      </c>
      <c r="AB12" s="21">
        <v>-1912</v>
      </c>
      <c r="AC12" s="21">
        <v>-6644</v>
      </c>
      <c r="AD12" s="21">
        <v>-243</v>
      </c>
      <c r="AE12" s="23">
        <v>-10552</v>
      </c>
      <c r="AF12" s="21">
        <v>307</v>
      </c>
      <c r="AG12" s="21">
        <v>-262</v>
      </c>
      <c r="AH12" s="21">
        <v>-421</v>
      </c>
      <c r="AI12" s="21">
        <v>205</v>
      </c>
      <c r="AJ12" s="21">
        <v>91</v>
      </c>
      <c r="AK12" s="30">
        <v>2945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2A1C-F889-4F18-898F-76005FCCDD76}">
  <dimension ref="A1:R12"/>
  <sheetViews>
    <sheetView workbookViewId="0">
      <selection activeCell="G16" sqref="G16"/>
    </sheetView>
  </sheetViews>
  <sheetFormatPr defaultRowHeight="15" x14ac:dyDescent="0.25"/>
  <cols>
    <col min="1" max="1" width="6.5703125" bestFit="1" customWidth="1"/>
    <col min="2" max="2" width="22" bestFit="1" customWidth="1"/>
    <col min="3" max="3" width="14.28515625" bestFit="1" customWidth="1"/>
    <col min="4" max="4" width="10.140625" bestFit="1" customWidth="1"/>
    <col min="5" max="5" width="35.7109375" bestFit="1" customWidth="1"/>
    <col min="6" max="6" width="17" bestFit="1" customWidth="1"/>
    <col min="7" max="7" width="10.85546875" bestFit="1" customWidth="1"/>
    <col min="8" max="8" width="8.5703125" bestFit="1" customWidth="1"/>
    <col min="9" max="9" width="8.85546875" bestFit="1" customWidth="1"/>
    <col min="10" max="10" width="22.28515625" bestFit="1" customWidth="1"/>
    <col min="11" max="11" width="21.7109375" bestFit="1" customWidth="1"/>
    <col min="12" max="12" width="23.28515625" bestFit="1" customWidth="1"/>
    <col min="13" max="13" width="9.140625" bestFit="1" customWidth="1"/>
    <col min="14" max="14" width="20.85546875" bestFit="1" customWidth="1"/>
    <col min="15" max="15" width="33.140625" bestFit="1" customWidth="1"/>
    <col min="16" max="16" width="29.28515625" bestFit="1" customWidth="1"/>
    <col min="17" max="17" width="34" bestFit="1" customWidth="1"/>
    <col min="18" max="18" width="36.28515625" bestFit="1" customWidth="1"/>
  </cols>
  <sheetData>
    <row r="1" spans="1:18" x14ac:dyDescent="0.25">
      <c r="B1" t="s">
        <v>1</v>
      </c>
    </row>
    <row r="2" spans="1:18" s="26" customFormat="1" ht="72.75" customHeight="1" x14ac:dyDescent="0.25">
      <c r="B2" s="24" t="s">
        <v>13</v>
      </c>
      <c r="C2" s="24" t="s">
        <v>14</v>
      </c>
      <c r="D2" s="25" t="s">
        <v>15</v>
      </c>
      <c r="E2" s="24" t="s">
        <v>16</v>
      </c>
      <c r="F2" s="24" t="s">
        <v>17</v>
      </c>
      <c r="G2" s="25" t="s">
        <v>18</v>
      </c>
      <c r="H2" s="24" t="s">
        <v>19</v>
      </c>
      <c r="I2" s="24" t="s">
        <v>20</v>
      </c>
      <c r="J2" s="24" t="s">
        <v>21</v>
      </c>
      <c r="K2" s="24" t="s">
        <v>22</v>
      </c>
      <c r="L2" s="25" t="s">
        <v>23</v>
      </c>
      <c r="M2" s="24" t="s">
        <v>24</v>
      </c>
      <c r="N2" s="25" t="s">
        <v>25</v>
      </c>
      <c r="O2" s="24" t="s">
        <v>26</v>
      </c>
      <c r="P2" s="24" t="s">
        <v>27</v>
      </c>
      <c r="Q2" s="24" t="s">
        <v>28</v>
      </c>
      <c r="R2" s="25" t="s">
        <v>29</v>
      </c>
    </row>
    <row r="3" spans="1:18" ht="27.95" customHeight="1" x14ac:dyDescent="0.25">
      <c r="A3" s="18" t="s">
        <v>3</v>
      </c>
      <c r="B3" s="14">
        <v>30990</v>
      </c>
      <c r="C3" s="14">
        <v>11088</v>
      </c>
      <c r="D3" s="15">
        <f t="shared" ref="D3:D12" si="0">B3-C3</f>
        <v>19902</v>
      </c>
      <c r="E3" s="14">
        <v>11358</v>
      </c>
      <c r="F3" s="14">
        <v>313</v>
      </c>
      <c r="G3" s="15">
        <v>8231</v>
      </c>
      <c r="H3" s="14">
        <v>249</v>
      </c>
      <c r="I3" s="14">
        <v>355</v>
      </c>
      <c r="J3" s="14">
        <v>781</v>
      </c>
      <c r="K3" s="14">
        <v>40</v>
      </c>
      <c r="L3" s="15">
        <v>8946</v>
      </c>
      <c r="M3" s="14">
        <v>2040</v>
      </c>
      <c r="N3" s="15">
        <v>6906</v>
      </c>
      <c r="O3" s="14">
        <v>82</v>
      </c>
      <c r="P3" s="14"/>
      <c r="Q3" s="14"/>
      <c r="R3" s="15">
        <v>6824</v>
      </c>
    </row>
    <row r="4" spans="1:18" ht="27.95" customHeight="1" x14ac:dyDescent="0.25">
      <c r="A4" s="18" t="s">
        <v>4</v>
      </c>
      <c r="B4" s="14">
        <v>35119</v>
      </c>
      <c r="C4" s="14">
        <v>12693</v>
      </c>
      <c r="D4" s="15">
        <f t="shared" si="0"/>
        <v>22426</v>
      </c>
      <c r="E4" s="14">
        <v>13194</v>
      </c>
      <c r="F4" s="14">
        <v>819</v>
      </c>
      <c r="G4" s="15">
        <v>8413</v>
      </c>
      <c r="H4" s="14">
        <v>317</v>
      </c>
      <c r="I4" s="14">
        <v>733</v>
      </c>
      <c r="J4" s="14">
        <v>1025</v>
      </c>
      <c r="K4" s="14">
        <v>5185</v>
      </c>
      <c r="L4" s="15">
        <v>14207</v>
      </c>
      <c r="M4" s="14">
        <v>2370</v>
      </c>
      <c r="N4" s="15">
        <v>11837</v>
      </c>
      <c r="O4" s="14">
        <v>50</v>
      </c>
      <c r="P4" s="14"/>
      <c r="Q4" s="14"/>
      <c r="R4" s="15">
        <v>11787</v>
      </c>
    </row>
    <row r="5" spans="1:18" ht="27.95" customHeight="1" x14ac:dyDescent="0.25">
      <c r="A5" s="18" t="s">
        <v>5</v>
      </c>
      <c r="B5" s="14">
        <v>46542</v>
      </c>
      <c r="C5" s="14">
        <v>18215</v>
      </c>
      <c r="D5" s="15">
        <f t="shared" si="0"/>
        <v>28327</v>
      </c>
      <c r="E5" s="14">
        <v>17422</v>
      </c>
      <c r="F5" s="14">
        <v>732</v>
      </c>
      <c r="G5" s="15">
        <v>10173</v>
      </c>
      <c r="H5" s="14">
        <v>483</v>
      </c>
      <c r="I5" s="14">
        <v>417</v>
      </c>
      <c r="J5" s="14">
        <v>690</v>
      </c>
      <c r="K5" s="14">
        <v>529</v>
      </c>
      <c r="L5" s="15">
        <v>11458</v>
      </c>
      <c r="M5" s="14">
        <v>2812</v>
      </c>
      <c r="N5" s="15">
        <v>8646</v>
      </c>
      <c r="O5" s="14">
        <v>62</v>
      </c>
      <c r="P5" s="14"/>
      <c r="Q5" s="14"/>
      <c r="R5" s="15">
        <v>8584</v>
      </c>
    </row>
    <row r="6" spans="1:18" ht="27.95" customHeight="1" x14ac:dyDescent="0.25">
      <c r="A6" s="18" t="s">
        <v>6</v>
      </c>
      <c r="B6" s="14">
        <v>48017</v>
      </c>
      <c r="C6" s="14">
        <v>19053</v>
      </c>
      <c r="D6" s="15">
        <f t="shared" si="0"/>
        <v>28964</v>
      </c>
      <c r="E6" s="14">
        <v>17738</v>
      </c>
      <c r="F6" s="14">
        <v>447</v>
      </c>
      <c r="G6" s="15">
        <v>10779</v>
      </c>
      <c r="H6" s="14">
        <v>471</v>
      </c>
      <c r="I6" s="14">
        <v>397</v>
      </c>
      <c r="J6" s="14">
        <v>819</v>
      </c>
      <c r="K6" s="14">
        <v>137</v>
      </c>
      <c r="L6" s="15">
        <v>11809</v>
      </c>
      <c r="M6" s="14">
        <v>2723</v>
      </c>
      <c r="N6" s="15">
        <v>9086</v>
      </c>
      <c r="O6" s="14">
        <v>67</v>
      </c>
      <c r="P6" s="14"/>
      <c r="Q6" s="14"/>
      <c r="R6" s="15">
        <v>9019</v>
      </c>
    </row>
    <row r="7" spans="1:18" ht="27.95" customHeight="1" x14ac:dyDescent="0.25">
      <c r="A7" s="18" t="s">
        <v>7</v>
      </c>
      <c r="B7" s="14">
        <v>46854</v>
      </c>
      <c r="C7" s="14">
        <v>18421</v>
      </c>
      <c r="D7" s="15">
        <f t="shared" si="0"/>
        <v>28433</v>
      </c>
      <c r="E7" s="14">
        <v>17310</v>
      </c>
      <c r="F7" s="14">
        <v>895</v>
      </c>
      <c r="G7" s="15">
        <v>10228</v>
      </c>
      <c r="H7" s="14">
        <v>534</v>
      </c>
      <c r="I7" s="14">
        <v>463</v>
      </c>
      <c r="J7" s="14">
        <v>602</v>
      </c>
      <c r="K7" s="14">
        <v>576</v>
      </c>
      <c r="L7" s="15">
        <v>11477</v>
      </c>
      <c r="M7" s="14">
        <v>2851</v>
      </c>
      <c r="N7" s="15">
        <v>8626</v>
      </c>
      <c r="O7" s="14">
        <v>42</v>
      </c>
      <c r="P7" s="14"/>
      <c r="Q7" s="14"/>
      <c r="R7" s="15">
        <v>8584</v>
      </c>
    </row>
    <row r="8" spans="1:18" ht="27.95" customHeight="1" x14ac:dyDescent="0.25">
      <c r="A8" s="18" t="s">
        <v>8</v>
      </c>
      <c r="B8" s="14">
        <v>45998</v>
      </c>
      <c r="C8" s="14">
        <v>17889</v>
      </c>
      <c r="D8" s="15">
        <f t="shared" si="0"/>
        <v>28109</v>
      </c>
      <c r="E8" s="14">
        <v>17218</v>
      </c>
      <c r="F8" s="14">
        <v>1183</v>
      </c>
      <c r="G8" s="15">
        <v>9708</v>
      </c>
      <c r="H8" s="14">
        <v>594</v>
      </c>
      <c r="I8" s="14">
        <v>483</v>
      </c>
      <c r="J8" s="14">
        <v>769</v>
      </c>
      <c r="K8" s="14">
        <v>-1263</v>
      </c>
      <c r="L8" s="15">
        <v>9325</v>
      </c>
      <c r="M8" s="14">
        <v>2201</v>
      </c>
      <c r="N8" s="15">
        <v>7124</v>
      </c>
      <c r="O8" s="14">
        <v>26</v>
      </c>
      <c r="P8" s="14"/>
      <c r="Q8" s="14"/>
      <c r="R8" s="15">
        <v>7098</v>
      </c>
    </row>
    <row r="9" spans="1:18" ht="27.95" customHeight="1" x14ac:dyDescent="0.25">
      <c r="A9" s="18" t="s">
        <v>9</v>
      </c>
      <c r="B9" s="14">
        <v>44294</v>
      </c>
      <c r="C9" s="14">
        <v>17482</v>
      </c>
      <c r="D9" s="15">
        <f t="shared" si="0"/>
        <v>26812</v>
      </c>
      <c r="E9" s="14">
        <v>16427</v>
      </c>
      <c r="F9" s="14">
        <v>1657</v>
      </c>
      <c r="G9" s="15">
        <v>8728</v>
      </c>
      <c r="H9" s="14">
        <v>613</v>
      </c>
      <c r="I9" s="14">
        <v>856</v>
      </c>
      <c r="J9" s="14">
        <v>489</v>
      </c>
      <c r="K9" s="14">
        <v>631</v>
      </c>
      <c r="L9" s="15">
        <v>9605</v>
      </c>
      <c r="M9" s="14">
        <v>2239</v>
      </c>
      <c r="N9" s="15">
        <v>7366</v>
      </c>
      <c r="O9" s="14">
        <v>15</v>
      </c>
      <c r="P9" s="14">
        <v>7366</v>
      </c>
      <c r="Q9" s="14">
        <v>0</v>
      </c>
      <c r="R9" s="15">
        <v>7351</v>
      </c>
    </row>
    <row r="10" spans="1:18" ht="27.95" customHeight="1" x14ac:dyDescent="0.25">
      <c r="A10" s="18" t="s">
        <v>10</v>
      </c>
      <c r="B10" s="14">
        <v>41863</v>
      </c>
      <c r="C10" s="14">
        <v>16465</v>
      </c>
      <c r="D10" s="15">
        <f t="shared" si="0"/>
        <v>25398</v>
      </c>
      <c r="E10" s="14">
        <v>15262</v>
      </c>
      <c r="F10" s="14">
        <v>1510</v>
      </c>
      <c r="G10" s="15">
        <v>8626</v>
      </c>
      <c r="H10" s="14">
        <v>642</v>
      </c>
      <c r="I10" s="14">
        <v>733</v>
      </c>
      <c r="J10" s="14">
        <v>835</v>
      </c>
      <c r="K10" s="14">
        <v>-1234</v>
      </c>
      <c r="L10" s="15">
        <v>8136</v>
      </c>
      <c r="M10" s="14">
        <v>1586</v>
      </c>
      <c r="N10" s="15">
        <v>6550</v>
      </c>
      <c r="O10" s="14">
        <v>23</v>
      </c>
      <c r="P10" s="14">
        <v>6550</v>
      </c>
      <c r="Q10" s="14">
        <v>0</v>
      </c>
      <c r="R10" s="15">
        <v>6527</v>
      </c>
    </row>
    <row r="11" spans="1:18" ht="27.95" customHeight="1" x14ac:dyDescent="0.25">
      <c r="A11" s="18" t="s">
        <v>11</v>
      </c>
      <c r="B11" s="14">
        <v>35410</v>
      </c>
      <c r="C11" s="14">
        <v>13255</v>
      </c>
      <c r="D11" s="15">
        <f t="shared" si="0"/>
        <v>22155</v>
      </c>
      <c r="E11" s="14">
        <v>12654</v>
      </c>
      <c r="F11" s="14">
        <v>1902</v>
      </c>
      <c r="G11" s="15">
        <v>7599</v>
      </c>
      <c r="H11" s="14">
        <v>677</v>
      </c>
      <c r="I11" s="14">
        <v>841</v>
      </c>
      <c r="J11" s="14">
        <v>1071</v>
      </c>
      <c r="K11" s="14">
        <v>-1764</v>
      </c>
      <c r="L11" s="15">
        <v>6742</v>
      </c>
      <c r="M11" s="14">
        <v>5560</v>
      </c>
      <c r="N11" s="15">
        <v>1283</v>
      </c>
      <c r="O11" s="14">
        <v>35</v>
      </c>
      <c r="P11" s="14">
        <v>1182</v>
      </c>
      <c r="Q11" s="14">
        <v>101</v>
      </c>
      <c r="R11" s="15">
        <v>1248</v>
      </c>
    </row>
    <row r="12" spans="1:18" ht="27.95" customHeight="1" x14ac:dyDescent="0.25">
      <c r="A12" s="19" t="s">
        <v>12</v>
      </c>
      <c r="B12" s="16">
        <v>31856</v>
      </c>
      <c r="C12" s="16">
        <v>11770</v>
      </c>
      <c r="D12" s="17">
        <f t="shared" si="0"/>
        <v>20086</v>
      </c>
      <c r="E12" s="16">
        <v>10307</v>
      </c>
      <c r="F12" s="16">
        <v>1079</v>
      </c>
      <c r="G12" s="17">
        <v>8700</v>
      </c>
      <c r="H12" s="16">
        <v>682</v>
      </c>
      <c r="I12" s="16">
        <v>919</v>
      </c>
      <c r="J12" s="16">
        <v>1008</v>
      </c>
      <c r="K12" s="16">
        <v>-1121</v>
      </c>
      <c r="L12" s="17">
        <v>8350</v>
      </c>
      <c r="M12" s="16">
        <v>1623</v>
      </c>
      <c r="N12" s="17">
        <v>6476</v>
      </c>
      <c r="O12" s="16">
        <v>42</v>
      </c>
      <c r="P12" s="16">
        <v>6727</v>
      </c>
      <c r="Q12" s="16">
        <v>-251</v>
      </c>
      <c r="R12" s="17">
        <v>6434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A3B6-C32D-429A-8AF4-042E1459C426}">
  <dimension ref="A1:U12"/>
  <sheetViews>
    <sheetView workbookViewId="0">
      <selection activeCell="D21" sqref="D21"/>
    </sheetView>
  </sheetViews>
  <sheetFormatPr defaultRowHeight="15" x14ac:dyDescent="0.25"/>
  <cols>
    <col min="1" max="1" width="6.5703125" bestFit="1" customWidth="1"/>
    <col min="2" max="2" width="14.7109375" bestFit="1" customWidth="1"/>
    <col min="3" max="3" width="12.85546875" bestFit="1" customWidth="1"/>
    <col min="4" max="4" width="44.7109375" bestFit="1" customWidth="1"/>
    <col min="5" max="5" width="12.28515625" bestFit="1" customWidth="1"/>
    <col min="6" max="6" width="31.7109375" bestFit="1" customWidth="1"/>
    <col min="7" max="7" width="11.140625" bestFit="1" customWidth="1"/>
    <col min="8" max="8" width="28.7109375" bestFit="1" customWidth="1"/>
    <col min="9" max="10" width="15.42578125" bestFit="1" customWidth="1"/>
    <col min="11" max="11" width="14" bestFit="1" customWidth="1"/>
    <col min="12" max="12" width="15.7109375" bestFit="1" customWidth="1"/>
    <col min="13" max="13" width="12.85546875" bestFit="1" customWidth="1"/>
    <col min="14" max="14" width="9.140625" bestFit="1" customWidth="1"/>
    <col min="15" max="15" width="33.5703125" bestFit="1" customWidth="1"/>
    <col min="16" max="16" width="21.140625" bestFit="1" customWidth="1"/>
    <col min="17" max="17" width="32.42578125" bestFit="1" customWidth="1"/>
    <col min="18" max="18" width="30.85546875" bestFit="1" customWidth="1"/>
    <col min="19" max="19" width="10.140625" bestFit="1" customWidth="1"/>
    <col min="20" max="20" width="17.42578125" bestFit="1" customWidth="1"/>
    <col min="21" max="21" width="10.140625" bestFit="1" customWidth="1"/>
  </cols>
  <sheetData>
    <row r="1" spans="1:21" x14ac:dyDescent="0.25">
      <c r="B1" t="s">
        <v>30</v>
      </c>
    </row>
    <row r="2" spans="1:21" ht="57.75" customHeight="1" x14ac:dyDescent="0.25">
      <c r="B2" s="24" t="s">
        <v>32</v>
      </c>
      <c r="C2" s="24" t="s">
        <v>33</v>
      </c>
      <c r="D2" s="25" t="s">
        <v>34</v>
      </c>
      <c r="E2" s="24" t="s">
        <v>35</v>
      </c>
      <c r="F2" s="24" t="s">
        <v>36</v>
      </c>
      <c r="G2" s="24" t="s">
        <v>37</v>
      </c>
      <c r="H2" s="24" t="s">
        <v>38</v>
      </c>
      <c r="I2" s="24" t="s">
        <v>39</v>
      </c>
      <c r="J2" s="24" t="s">
        <v>39</v>
      </c>
      <c r="K2" s="25" t="s">
        <v>40</v>
      </c>
      <c r="L2" s="24" t="s">
        <v>41</v>
      </c>
      <c r="M2" s="24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4" t="s">
        <v>47</v>
      </c>
      <c r="S2" s="24" t="s">
        <v>48</v>
      </c>
      <c r="T2" s="24" t="s">
        <v>49</v>
      </c>
      <c r="U2" s="25" t="s">
        <v>50</v>
      </c>
    </row>
    <row r="3" spans="1:21" ht="27.95" customHeight="1" x14ac:dyDescent="0.25">
      <c r="A3" s="18" t="s">
        <v>3</v>
      </c>
      <c r="B3" s="20">
        <v>7021</v>
      </c>
      <c r="C3" s="20">
        <v>2130</v>
      </c>
      <c r="D3" s="22">
        <v>9151</v>
      </c>
      <c r="E3" s="20">
        <v>62</v>
      </c>
      <c r="F3" s="20">
        <v>3758</v>
      </c>
      <c r="G3" s="20">
        <v>2354</v>
      </c>
      <c r="H3" s="20">
        <v>2226</v>
      </c>
      <c r="I3" s="20"/>
      <c r="J3" s="20"/>
      <c r="K3" s="22">
        <v>17551</v>
      </c>
      <c r="L3" s="20">
        <v>6217</v>
      </c>
      <c r="M3" s="20">
        <v>538</v>
      </c>
      <c r="N3" s="20">
        <v>1976</v>
      </c>
      <c r="O3" s="20">
        <v>9561</v>
      </c>
      <c r="P3" s="20"/>
      <c r="Q3" s="20">
        <v>6183</v>
      </c>
      <c r="R3" s="20">
        <v>1953</v>
      </c>
      <c r="S3" s="20">
        <v>4224</v>
      </c>
      <c r="T3" s="20">
        <v>468</v>
      </c>
      <c r="U3" s="22">
        <v>48671</v>
      </c>
    </row>
    <row r="4" spans="1:21" ht="27.95" customHeight="1" x14ac:dyDescent="0.25">
      <c r="A4" s="18" t="s">
        <v>4</v>
      </c>
      <c r="B4" s="20">
        <v>8517</v>
      </c>
      <c r="C4" s="20">
        <v>2682</v>
      </c>
      <c r="D4" s="22">
        <v>11199</v>
      </c>
      <c r="E4" s="20">
        <v>138</v>
      </c>
      <c r="F4" s="20">
        <v>4430</v>
      </c>
      <c r="G4" s="20">
        <v>2650</v>
      </c>
      <c r="H4" s="20">
        <v>3162</v>
      </c>
      <c r="I4" s="20"/>
      <c r="J4" s="20"/>
      <c r="K4" s="22">
        <v>21579</v>
      </c>
      <c r="L4" s="20">
        <v>6954</v>
      </c>
      <c r="M4" s="20">
        <v>631</v>
      </c>
      <c r="N4" s="20">
        <v>2121</v>
      </c>
      <c r="O4" s="20">
        <v>14727</v>
      </c>
      <c r="P4" s="20"/>
      <c r="Q4" s="20">
        <v>6356</v>
      </c>
      <c r="R4" s="20">
        <v>7511</v>
      </c>
      <c r="S4" s="20">
        <v>11665</v>
      </c>
      <c r="T4" s="20">
        <v>1377</v>
      </c>
      <c r="U4" s="22">
        <v>72921</v>
      </c>
    </row>
    <row r="5" spans="1:21" ht="27.95" customHeight="1" x14ac:dyDescent="0.25">
      <c r="A5" s="18" t="s">
        <v>5</v>
      </c>
      <c r="B5" s="20">
        <v>12803</v>
      </c>
      <c r="C5" s="20">
        <v>1088</v>
      </c>
      <c r="D5" s="22">
        <v>13891</v>
      </c>
      <c r="E5" s="20">
        <v>144</v>
      </c>
      <c r="F5" s="20">
        <v>4920</v>
      </c>
      <c r="G5" s="20">
        <v>3092</v>
      </c>
      <c r="H5" s="20">
        <v>3450</v>
      </c>
      <c r="I5" s="20">
        <v>0</v>
      </c>
      <c r="J5" s="20"/>
      <c r="K5" s="22">
        <v>25497</v>
      </c>
      <c r="L5" s="20">
        <v>7233</v>
      </c>
      <c r="M5" s="20">
        <v>1141</v>
      </c>
      <c r="N5" s="20">
        <v>3495</v>
      </c>
      <c r="O5" s="20">
        <v>14939</v>
      </c>
      <c r="P5" s="20"/>
      <c r="Q5" s="20">
        <v>6430</v>
      </c>
      <c r="R5" s="20">
        <v>7770</v>
      </c>
      <c r="S5" s="20">
        <v>12219</v>
      </c>
      <c r="T5" s="20">
        <v>1250</v>
      </c>
      <c r="U5" s="22">
        <v>79974</v>
      </c>
    </row>
    <row r="6" spans="1:21" ht="27.95" customHeight="1" x14ac:dyDescent="0.25">
      <c r="A6" s="18" t="s">
        <v>6</v>
      </c>
      <c r="B6" s="20">
        <v>8442</v>
      </c>
      <c r="C6" s="20">
        <v>5017</v>
      </c>
      <c r="D6" s="22">
        <v>13459</v>
      </c>
      <c r="E6" s="20">
        <v>3092</v>
      </c>
      <c r="F6" s="20">
        <v>4759</v>
      </c>
      <c r="G6" s="20">
        <v>3264</v>
      </c>
      <c r="H6" s="20">
        <v>2781</v>
      </c>
      <c r="I6" s="20">
        <v>2973</v>
      </c>
      <c r="J6" s="20"/>
      <c r="K6" s="22">
        <v>30328</v>
      </c>
      <c r="L6" s="20">
        <v>9216</v>
      </c>
      <c r="M6" s="20">
        <v>1232</v>
      </c>
      <c r="N6" s="20">
        <v>3585</v>
      </c>
      <c r="O6" s="20">
        <v>14476</v>
      </c>
      <c r="P6" s="20"/>
      <c r="Q6" s="20">
        <v>6527</v>
      </c>
      <c r="R6" s="20">
        <v>7405</v>
      </c>
      <c r="S6" s="20">
        <v>12255</v>
      </c>
      <c r="T6" s="20">
        <v>1150</v>
      </c>
      <c r="U6" s="22">
        <v>86174</v>
      </c>
    </row>
    <row r="7" spans="1:21" ht="27.95" customHeight="1" x14ac:dyDescent="0.25">
      <c r="A7" s="18" t="s">
        <v>7</v>
      </c>
      <c r="B7" s="20">
        <v>10414</v>
      </c>
      <c r="C7" s="20">
        <v>6707</v>
      </c>
      <c r="D7" s="22">
        <v>17121</v>
      </c>
      <c r="E7" s="20">
        <v>3147</v>
      </c>
      <c r="F7" s="20">
        <v>4873</v>
      </c>
      <c r="G7" s="20">
        <v>3277</v>
      </c>
      <c r="H7" s="20">
        <v>2886</v>
      </c>
      <c r="I7" s="20">
        <v>0</v>
      </c>
      <c r="J7" s="20"/>
      <c r="K7" s="22">
        <v>31304</v>
      </c>
      <c r="L7" s="20">
        <v>10393</v>
      </c>
      <c r="M7" s="20">
        <v>1119</v>
      </c>
      <c r="N7" s="20">
        <v>4661</v>
      </c>
      <c r="O7" s="20">
        <v>14967</v>
      </c>
      <c r="P7" s="20"/>
      <c r="Q7" s="20">
        <v>6744</v>
      </c>
      <c r="R7" s="20">
        <v>7415</v>
      </c>
      <c r="S7" s="20">
        <v>12312</v>
      </c>
      <c r="T7" s="20">
        <v>1140</v>
      </c>
      <c r="U7" s="22">
        <v>90055</v>
      </c>
    </row>
    <row r="8" spans="1:21" ht="27.95" customHeight="1" x14ac:dyDescent="0.25">
      <c r="A8" s="18" t="s">
        <v>8</v>
      </c>
      <c r="B8" s="20">
        <v>8958</v>
      </c>
      <c r="C8" s="20">
        <v>9052</v>
      </c>
      <c r="D8" s="22">
        <v>18010</v>
      </c>
      <c r="E8" s="20">
        <v>3665</v>
      </c>
      <c r="F8" s="20">
        <v>4466</v>
      </c>
      <c r="G8" s="20">
        <v>3100</v>
      </c>
      <c r="H8" s="20">
        <v>3066</v>
      </c>
      <c r="I8" s="20">
        <v>679</v>
      </c>
      <c r="J8" s="20"/>
      <c r="K8" s="22">
        <v>32986</v>
      </c>
      <c r="L8" s="20">
        <v>9947</v>
      </c>
      <c r="M8" s="20">
        <v>3678</v>
      </c>
      <c r="N8" s="20">
        <v>4407</v>
      </c>
      <c r="O8" s="20">
        <v>14633</v>
      </c>
      <c r="P8" s="20"/>
      <c r="Q8" s="20">
        <v>6533</v>
      </c>
      <c r="R8" s="20">
        <v>6689</v>
      </c>
      <c r="S8" s="20">
        <v>12100</v>
      </c>
      <c r="T8" s="20">
        <v>1050</v>
      </c>
      <c r="U8" s="22">
        <v>92023</v>
      </c>
    </row>
    <row r="9" spans="1:21" ht="27.95" customHeight="1" x14ac:dyDescent="0.25">
      <c r="A9" s="18" t="s">
        <v>9</v>
      </c>
      <c r="B9" s="20">
        <v>7309</v>
      </c>
      <c r="C9" s="20">
        <v>8322</v>
      </c>
      <c r="D9" s="22">
        <v>15631</v>
      </c>
      <c r="E9" s="20">
        <v>4269</v>
      </c>
      <c r="F9" s="20">
        <v>3941</v>
      </c>
      <c r="G9" s="20">
        <v>2902</v>
      </c>
      <c r="H9" s="20">
        <v>2752</v>
      </c>
      <c r="I9" s="20">
        <v>3900</v>
      </c>
      <c r="J9" s="20"/>
      <c r="K9" s="22">
        <v>33395</v>
      </c>
      <c r="L9" s="20">
        <v>12318</v>
      </c>
      <c r="M9" s="20">
        <v>3470</v>
      </c>
      <c r="N9" s="20">
        <v>4110</v>
      </c>
      <c r="O9" s="20">
        <v>12571</v>
      </c>
      <c r="P9" s="20"/>
      <c r="Q9" s="20">
        <v>5989</v>
      </c>
      <c r="R9" s="20">
        <v>6000</v>
      </c>
      <c r="S9" s="20">
        <v>11289</v>
      </c>
      <c r="T9" s="20">
        <v>854</v>
      </c>
      <c r="U9" s="22">
        <v>89996</v>
      </c>
    </row>
    <row r="10" spans="1:21" ht="27.95" customHeight="1" x14ac:dyDescent="0.25">
      <c r="A10" s="18" t="s">
        <v>10</v>
      </c>
      <c r="B10" s="20">
        <v>8555</v>
      </c>
      <c r="C10" s="20">
        <v>9595</v>
      </c>
      <c r="D10" s="22">
        <v>18150</v>
      </c>
      <c r="E10" s="20">
        <v>4051</v>
      </c>
      <c r="F10" s="20">
        <v>3856</v>
      </c>
      <c r="G10" s="20">
        <v>2675</v>
      </c>
      <c r="H10" s="20">
        <v>2481</v>
      </c>
      <c r="I10" s="20">
        <v>0</v>
      </c>
      <c r="J10" s="20">
        <v>2797</v>
      </c>
      <c r="K10" s="22">
        <v>34010</v>
      </c>
      <c r="L10" s="20">
        <v>16260</v>
      </c>
      <c r="M10" s="20">
        <v>989</v>
      </c>
      <c r="N10" s="20">
        <v>4248</v>
      </c>
      <c r="O10" s="20">
        <v>10635</v>
      </c>
      <c r="P10" s="20"/>
      <c r="Q10" s="20">
        <v>6097</v>
      </c>
      <c r="R10" s="20">
        <v>3676</v>
      </c>
      <c r="S10" s="20">
        <v>10629</v>
      </c>
      <c r="T10" s="20">
        <v>726</v>
      </c>
      <c r="U10" s="22">
        <v>87270</v>
      </c>
    </row>
    <row r="11" spans="1:21" ht="27.95" customHeight="1" x14ac:dyDescent="0.25">
      <c r="A11" s="18" t="s">
        <v>11</v>
      </c>
      <c r="B11" s="20">
        <v>6006</v>
      </c>
      <c r="C11" s="20">
        <v>9352</v>
      </c>
      <c r="D11" s="22">
        <v>15358</v>
      </c>
      <c r="E11" s="20">
        <v>5317</v>
      </c>
      <c r="F11" s="20">
        <v>3667</v>
      </c>
      <c r="G11" s="20">
        <v>2655</v>
      </c>
      <c r="H11" s="20">
        <v>2000</v>
      </c>
      <c r="I11" s="20">
        <v>7329</v>
      </c>
      <c r="J11" s="20">
        <v>219</v>
      </c>
      <c r="K11" s="22">
        <v>36545</v>
      </c>
      <c r="L11" s="20">
        <v>20856</v>
      </c>
      <c r="M11" s="20">
        <v>1096</v>
      </c>
      <c r="N11" s="20">
        <v>4230</v>
      </c>
      <c r="O11" s="20">
        <v>8203</v>
      </c>
      <c r="P11" s="20">
        <v>330</v>
      </c>
      <c r="Q11" s="20">
        <v>6729</v>
      </c>
      <c r="R11" s="20">
        <v>138</v>
      </c>
      <c r="S11" s="20">
        <v>9401</v>
      </c>
      <c r="T11" s="20">
        <v>368</v>
      </c>
      <c r="U11" s="22">
        <v>87896</v>
      </c>
    </row>
    <row r="12" spans="1:21" ht="27.95" customHeight="1" x14ac:dyDescent="0.25">
      <c r="A12" s="19" t="s">
        <v>12</v>
      </c>
      <c r="B12" s="21">
        <v>8926</v>
      </c>
      <c r="C12" s="21">
        <v>2025</v>
      </c>
      <c r="D12" s="23">
        <v>10951</v>
      </c>
      <c r="E12" s="21">
        <v>5013</v>
      </c>
      <c r="F12" s="21">
        <v>3396</v>
      </c>
      <c r="G12" s="21">
        <v>2766</v>
      </c>
      <c r="H12" s="21">
        <v>1962</v>
      </c>
      <c r="I12" s="21">
        <v>6546</v>
      </c>
      <c r="J12" s="21">
        <v>0</v>
      </c>
      <c r="K12" s="23">
        <v>30634</v>
      </c>
      <c r="L12" s="21">
        <v>19407</v>
      </c>
      <c r="M12" s="21">
        <v>867</v>
      </c>
      <c r="N12" s="21">
        <v>4139</v>
      </c>
      <c r="O12" s="21">
        <v>8232</v>
      </c>
      <c r="P12" s="21">
        <v>2667</v>
      </c>
      <c r="Q12" s="21">
        <v>6682</v>
      </c>
      <c r="R12" s="21">
        <v>51</v>
      </c>
      <c r="S12" s="21">
        <v>10263</v>
      </c>
      <c r="T12" s="21">
        <v>274</v>
      </c>
      <c r="U12" s="23">
        <v>83216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F0AE-4CFF-42EE-B67B-59AA2EDD310E}">
  <dimension ref="A1:T12"/>
  <sheetViews>
    <sheetView topLeftCell="I1" workbookViewId="0">
      <selection activeCell="S2" sqref="S2:S12"/>
    </sheetView>
  </sheetViews>
  <sheetFormatPr defaultRowHeight="15" x14ac:dyDescent="0.25"/>
  <cols>
    <col min="1" max="1" width="6.5703125" bestFit="1" customWidth="1"/>
    <col min="2" max="2" width="31.5703125" bestFit="1" customWidth="1"/>
    <col min="3" max="3" width="17" bestFit="1" customWidth="1"/>
    <col min="4" max="4" width="32.5703125" bestFit="1" customWidth="1"/>
    <col min="5" max="5" width="16.85546875" bestFit="1" customWidth="1"/>
    <col min="6" max="6" width="18.7109375" bestFit="1" customWidth="1"/>
    <col min="7" max="7" width="38.140625" bestFit="1" customWidth="1"/>
    <col min="8" max="8" width="14" bestFit="1" customWidth="1"/>
    <col min="9" max="9" width="11.140625" bestFit="1" customWidth="1"/>
    <col min="10" max="10" width="9.7109375" bestFit="1" customWidth="1"/>
    <col min="11" max="11" width="17.5703125" bestFit="1" customWidth="1"/>
    <col min="12" max="12" width="9.7109375" bestFit="1" customWidth="1"/>
    <col min="13" max="13" width="10.140625" bestFit="1" customWidth="1"/>
    <col min="14" max="14" width="11.7109375" bestFit="1" customWidth="1"/>
    <col min="15" max="15" width="44.140625" bestFit="1" customWidth="1"/>
    <col min="16" max="16" width="18.5703125" bestFit="1" customWidth="1"/>
    <col min="17" max="17" width="63" bestFit="1" customWidth="1"/>
    <col min="18" max="18" width="38.5703125" bestFit="1" customWidth="1"/>
    <col min="19" max="19" width="10.140625" bestFit="1" customWidth="1"/>
    <col min="20" max="20" width="19.85546875" bestFit="1" customWidth="1"/>
  </cols>
  <sheetData>
    <row r="1" spans="1:20" x14ac:dyDescent="0.25">
      <c r="B1" s="27" t="s">
        <v>51</v>
      </c>
    </row>
    <row r="2" spans="1:20" s="28" customFormat="1" ht="67.5" customHeight="1" x14ac:dyDescent="0.25">
      <c r="B2" s="24" t="s">
        <v>52</v>
      </c>
      <c r="C2" s="24" t="s">
        <v>53</v>
      </c>
      <c r="D2" s="24" t="s">
        <v>54</v>
      </c>
      <c r="E2" s="24" t="s">
        <v>55</v>
      </c>
      <c r="F2" s="24" t="s">
        <v>56</v>
      </c>
      <c r="G2" s="24" t="s">
        <v>57</v>
      </c>
      <c r="H2" s="25" t="s">
        <v>58</v>
      </c>
      <c r="I2" s="24" t="s">
        <v>59</v>
      </c>
      <c r="J2" s="24" t="s">
        <v>60</v>
      </c>
      <c r="K2" s="24" t="s">
        <v>61</v>
      </c>
      <c r="L2" s="24" t="s">
        <v>62</v>
      </c>
      <c r="M2" s="24" t="s">
        <v>63</v>
      </c>
      <c r="N2" s="24" t="s">
        <v>64</v>
      </c>
      <c r="O2" s="24" t="s">
        <v>65</v>
      </c>
      <c r="P2" s="24" t="s">
        <v>66</v>
      </c>
      <c r="Q2" s="25" t="s">
        <v>67</v>
      </c>
      <c r="R2" s="24" t="s">
        <v>68</v>
      </c>
      <c r="S2" s="25" t="s">
        <v>69</v>
      </c>
      <c r="T2" s="25" t="s">
        <v>70</v>
      </c>
    </row>
    <row r="3" spans="1:20" ht="27.95" customHeight="1" x14ac:dyDescent="0.25">
      <c r="A3" s="18" t="s">
        <v>3</v>
      </c>
      <c r="B3" s="20">
        <v>6657</v>
      </c>
      <c r="C3" s="20">
        <v>6749</v>
      </c>
      <c r="D3" s="20">
        <v>51</v>
      </c>
      <c r="E3" s="20">
        <v>264</v>
      </c>
      <c r="F3" s="20"/>
      <c r="G3" s="20"/>
      <c r="H3" s="22">
        <v>13721</v>
      </c>
      <c r="I3" s="20">
        <v>5059</v>
      </c>
      <c r="J3" s="20">
        <v>2965</v>
      </c>
      <c r="K3" s="20">
        <v>1580</v>
      </c>
      <c r="L3" s="20">
        <v>880</v>
      </c>
      <c r="M3" s="20">
        <v>8537</v>
      </c>
      <c r="N3" s="20">
        <v>41537</v>
      </c>
      <c r="O3" s="20">
        <v>-757</v>
      </c>
      <c r="P3" s="20">
        <v>-25398</v>
      </c>
      <c r="Q3" s="22">
        <v>24799</v>
      </c>
      <c r="R3" s="20">
        <v>547</v>
      </c>
      <c r="S3" s="22">
        <v>25346</v>
      </c>
      <c r="T3" s="22">
        <v>48671</v>
      </c>
    </row>
    <row r="4" spans="1:20" ht="27.95" customHeight="1" x14ac:dyDescent="0.25">
      <c r="A4" s="18" t="s">
        <v>4</v>
      </c>
      <c r="B4" s="20">
        <v>8859</v>
      </c>
      <c r="C4" s="20">
        <v>8100</v>
      </c>
      <c r="D4" s="20">
        <v>1276</v>
      </c>
      <c r="E4" s="20">
        <v>273</v>
      </c>
      <c r="F4" s="20"/>
      <c r="G4" s="20"/>
      <c r="H4" s="22">
        <v>18508</v>
      </c>
      <c r="I4" s="20">
        <v>14041</v>
      </c>
      <c r="J4" s="20">
        <v>4794</v>
      </c>
      <c r="K4" s="20">
        <v>4261</v>
      </c>
      <c r="L4" s="20">
        <v>880</v>
      </c>
      <c r="M4" s="20">
        <v>10057</v>
      </c>
      <c r="N4" s="20">
        <v>49278</v>
      </c>
      <c r="O4" s="20">
        <v>-1450</v>
      </c>
      <c r="P4" s="20">
        <v>-27762</v>
      </c>
      <c r="Q4" s="22">
        <v>31003</v>
      </c>
      <c r="R4" s="20">
        <v>314</v>
      </c>
      <c r="S4" s="22">
        <v>31317</v>
      </c>
      <c r="T4" s="22">
        <v>72921</v>
      </c>
    </row>
    <row r="5" spans="1:20" ht="27.95" customHeight="1" x14ac:dyDescent="0.25">
      <c r="A5" s="18" t="s">
        <v>5</v>
      </c>
      <c r="B5" s="20">
        <v>9009</v>
      </c>
      <c r="C5" s="20">
        <v>12871</v>
      </c>
      <c r="D5" s="20">
        <v>2041</v>
      </c>
      <c r="E5" s="20">
        <v>362</v>
      </c>
      <c r="F5" s="20">
        <v>0</v>
      </c>
      <c r="G5" s="20"/>
      <c r="H5" s="22">
        <v>24283</v>
      </c>
      <c r="I5" s="20">
        <v>13656</v>
      </c>
      <c r="J5" s="20">
        <v>5420</v>
      </c>
      <c r="K5" s="20">
        <v>4694</v>
      </c>
      <c r="L5" s="20">
        <v>1760</v>
      </c>
      <c r="M5" s="20">
        <v>10332</v>
      </c>
      <c r="N5" s="20">
        <v>53621</v>
      </c>
      <c r="O5" s="20">
        <v>-2774</v>
      </c>
      <c r="P5" s="20">
        <v>-31304</v>
      </c>
      <c r="Q5" s="22">
        <v>31635</v>
      </c>
      <c r="R5" s="20">
        <v>286</v>
      </c>
      <c r="S5" s="22">
        <v>31921</v>
      </c>
      <c r="T5" s="22">
        <v>79974</v>
      </c>
    </row>
    <row r="6" spans="1:20" ht="27.95" customHeight="1" x14ac:dyDescent="0.25">
      <c r="A6" s="18" t="s">
        <v>6</v>
      </c>
      <c r="B6" s="20">
        <v>8680</v>
      </c>
      <c r="C6" s="20">
        <v>16297</v>
      </c>
      <c r="D6" s="20">
        <v>1577</v>
      </c>
      <c r="E6" s="20">
        <v>471</v>
      </c>
      <c r="F6" s="20">
        <v>796</v>
      </c>
      <c r="G6" s="20"/>
      <c r="H6" s="22">
        <v>27821</v>
      </c>
      <c r="I6" s="20">
        <v>14736</v>
      </c>
      <c r="J6" s="20">
        <v>5468</v>
      </c>
      <c r="K6" s="20">
        <v>4981</v>
      </c>
      <c r="L6" s="20">
        <v>1760</v>
      </c>
      <c r="M6" s="20">
        <v>11379</v>
      </c>
      <c r="N6" s="20">
        <v>58045</v>
      </c>
      <c r="O6" s="20">
        <v>-3385</v>
      </c>
      <c r="P6" s="20">
        <v>-35009</v>
      </c>
      <c r="Q6" s="22">
        <v>32790</v>
      </c>
      <c r="R6" s="20">
        <v>378</v>
      </c>
      <c r="S6" s="22">
        <v>33168</v>
      </c>
      <c r="T6" s="22">
        <v>86174</v>
      </c>
    </row>
    <row r="7" spans="1:20" ht="27.95" customHeight="1" x14ac:dyDescent="0.25">
      <c r="A7" s="18" t="s">
        <v>7</v>
      </c>
      <c r="B7" s="20">
        <v>9577</v>
      </c>
      <c r="C7" s="20">
        <v>16901</v>
      </c>
      <c r="D7" s="20">
        <v>1024</v>
      </c>
      <c r="E7" s="20">
        <v>309</v>
      </c>
      <c r="F7" s="20">
        <v>0</v>
      </c>
      <c r="G7" s="20"/>
      <c r="H7" s="22">
        <v>27811</v>
      </c>
      <c r="I7" s="20">
        <v>19154</v>
      </c>
      <c r="J7" s="20">
        <v>3498</v>
      </c>
      <c r="K7" s="20">
        <v>6152</v>
      </c>
      <c r="L7" s="20">
        <v>1760</v>
      </c>
      <c r="M7" s="20">
        <v>12276</v>
      </c>
      <c r="N7" s="20">
        <v>61660</v>
      </c>
      <c r="O7" s="20">
        <v>-3432</v>
      </c>
      <c r="P7" s="20">
        <v>-39091</v>
      </c>
      <c r="Q7" s="22">
        <v>33173</v>
      </c>
      <c r="R7" s="20">
        <v>267</v>
      </c>
      <c r="S7" s="22">
        <v>33440</v>
      </c>
      <c r="T7" s="22">
        <v>90055</v>
      </c>
    </row>
    <row r="8" spans="1:20" ht="27.95" customHeight="1" x14ac:dyDescent="0.25">
      <c r="A8" s="18" t="s">
        <v>8</v>
      </c>
      <c r="B8" s="20">
        <v>9234</v>
      </c>
      <c r="C8" s="20">
        <v>19130</v>
      </c>
      <c r="D8" s="20">
        <v>3552</v>
      </c>
      <c r="E8" s="20">
        <v>400</v>
      </c>
      <c r="F8" s="20">
        <v>58</v>
      </c>
      <c r="G8" s="20"/>
      <c r="H8" s="22">
        <v>32374</v>
      </c>
      <c r="I8" s="20">
        <v>19063</v>
      </c>
      <c r="J8" s="20">
        <v>4389</v>
      </c>
      <c r="K8" s="20">
        <v>5636</v>
      </c>
      <c r="L8" s="20">
        <v>1760</v>
      </c>
      <c r="M8" s="20">
        <v>13154</v>
      </c>
      <c r="N8" s="20">
        <v>63408</v>
      </c>
      <c r="O8" s="20">
        <v>-5777</v>
      </c>
      <c r="P8" s="20">
        <v>-42225</v>
      </c>
      <c r="Q8" s="22">
        <v>30320</v>
      </c>
      <c r="R8" s="20">
        <v>241</v>
      </c>
      <c r="S8" s="22">
        <v>30561</v>
      </c>
      <c r="T8" s="22">
        <v>92023</v>
      </c>
    </row>
    <row r="9" spans="1:20" ht="27.95" customHeight="1" x14ac:dyDescent="0.25">
      <c r="A9" s="18" t="s">
        <v>9</v>
      </c>
      <c r="B9" s="20">
        <v>9660</v>
      </c>
      <c r="C9" s="20">
        <v>13129</v>
      </c>
      <c r="D9" s="20">
        <v>2676</v>
      </c>
      <c r="E9" s="20">
        <v>331</v>
      </c>
      <c r="F9" s="20">
        <v>1133</v>
      </c>
      <c r="G9" s="20"/>
      <c r="H9" s="22">
        <v>26929</v>
      </c>
      <c r="I9" s="20">
        <v>28311</v>
      </c>
      <c r="J9" s="20">
        <v>4301</v>
      </c>
      <c r="K9" s="20">
        <v>4691</v>
      </c>
      <c r="L9" s="20">
        <v>1760</v>
      </c>
      <c r="M9" s="20">
        <v>14016</v>
      </c>
      <c r="N9" s="20">
        <v>65018</v>
      </c>
      <c r="O9" s="20">
        <v>-10174</v>
      </c>
      <c r="P9" s="20">
        <v>-45066</v>
      </c>
      <c r="Q9" s="22">
        <v>25554</v>
      </c>
      <c r="R9" s="20">
        <v>210</v>
      </c>
      <c r="S9" s="22">
        <v>25764</v>
      </c>
      <c r="T9" s="22">
        <v>89996</v>
      </c>
    </row>
    <row r="10" spans="1:20" ht="27.95" customHeight="1" x14ac:dyDescent="0.25">
      <c r="A10" s="18" t="s">
        <v>10</v>
      </c>
      <c r="B10" s="20">
        <v>9490</v>
      </c>
      <c r="C10" s="20">
        <v>12498</v>
      </c>
      <c r="D10" s="20">
        <v>3527</v>
      </c>
      <c r="E10" s="20">
        <v>307</v>
      </c>
      <c r="F10" s="20">
        <v>710</v>
      </c>
      <c r="G10" s="20">
        <v>0</v>
      </c>
      <c r="H10" s="22">
        <v>26532</v>
      </c>
      <c r="I10" s="20">
        <v>29684</v>
      </c>
      <c r="J10" s="20">
        <v>4081</v>
      </c>
      <c r="K10" s="20">
        <v>3753</v>
      </c>
      <c r="L10" s="20">
        <v>1760</v>
      </c>
      <c r="M10" s="20">
        <v>14993</v>
      </c>
      <c r="N10" s="20">
        <v>65502</v>
      </c>
      <c r="O10" s="20">
        <v>-11205</v>
      </c>
      <c r="P10" s="20">
        <v>-47988</v>
      </c>
      <c r="Q10" s="22">
        <v>23062</v>
      </c>
      <c r="R10" s="20">
        <v>158</v>
      </c>
      <c r="S10" s="22">
        <v>23220</v>
      </c>
      <c r="T10" s="22">
        <v>87270</v>
      </c>
    </row>
    <row r="11" spans="1:20" ht="27.95" customHeight="1" x14ac:dyDescent="0.25">
      <c r="A11" s="18" t="s">
        <v>11</v>
      </c>
      <c r="B11" s="20">
        <v>8748</v>
      </c>
      <c r="C11" s="20">
        <v>13205</v>
      </c>
      <c r="D11" s="20">
        <v>3298</v>
      </c>
      <c r="E11" s="20">
        <v>410</v>
      </c>
      <c r="F11" s="20">
        <v>37</v>
      </c>
      <c r="G11" s="20">
        <v>1496</v>
      </c>
      <c r="H11" s="22">
        <v>27194</v>
      </c>
      <c r="I11" s="20">
        <v>31182</v>
      </c>
      <c r="J11" s="20">
        <v>8021</v>
      </c>
      <c r="K11" s="20">
        <v>2522</v>
      </c>
      <c r="L11" s="20">
        <v>1760</v>
      </c>
      <c r="M11" s="20">
        <v>15864</v>
      </c>
      <c r="N11" s="20">
        <v>60430</v>
      </c>
      <c r="O11" s="20">
        <v>-10305</v>
      </c>
      <c r="P11" s="20">
        <v>-50677</v>
      </c>
      <c r="Q11" s="22">
        <v>17072</v>
      </c>
      <c r="R11" s="20">
        <v>1905</v>
      </c>
      <c r="S11" s="22">
        <v>18977</v>
      </c>
      <c r="T11" s="22">
        <v>87896</v>
      </c>
    </row>
    <row r="12" spans="1:20" ht="27.95" customHeight="1" x14ac:dyDescent="0.25">
      <c r="A12" s="19" t="s">
        <v>12</v>
      </c>
      <c r="B12" s="21">
        <v>8932</v>
      </c>
      <c r="C12" s="21">
        <v>13194</v>
      </c>
      <c r="D12" s="21">
        <v>4997</v>
      </c>
      <c r="E12" s="21">
        <v>378</v>
      </c>
      <c r="F12" s="21">
        <v>0</v>
      </c>
      <c r="G12" s="21">
        <v>1722</v>
      </c>
      <c r="H12" s="23">
        <v>29223</v>
      </c>
      <c r="I12" s="21">
        <v>25364</v>
      </c>
      <c r="J12" s="21">
        <v>7638</v>
      </c>
      <c r="K12" s="21">
        <v>1933</v>
      </c>
      <c r="L12" s="21">
        <v>1760</v>
      </c>
      <c r="M12" s="21">
        <v>16520</v>
      </c>
      <c r="N12" s="21">
        <v>63234</v>
      </c>
      <c r="O12" s="21">
        <v>-12814</v>
      </c>
      <c r="P12" s="21">
        <v>-51719</v>
      </c>
      <c r="Q12" s="23">
        <v>16981</v>
      </c>
      <c r="R12" s="21">
        <v>2077</v>
      </c>
      <c r="S12" s="23">
        <v>19058</v>
      </c>
      <c r="T12" s="23">
        <v>83216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COCA COLA CO</vt:lpstr>
      <vt:lpstr>Dashboard!</vt:lpstr>
      <vt:lpstr>Dashboard Data</vt:lpstr>
      <vt:lpstr>Cash Flow Statement</vt:lpstr>
      <vt:lpstr>Profit &amp; Loss Statement</vt:lpstr>
      <vt:lpstr>Balance Sheet</vt:lpstr>
      <vt:lpstr>Liabilities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Matecia BigSea</cp:lastModifiedBy>
  <dcterms:created xsi:type="dcterms:W3CDTF">2016-07-27T10:12:29Z</dcterms:created>
  <dcterms:modified xsi:type="dcterms:W3CDTF">2026-07-25T11:48:59Z</dcterms:modified>
  <cp:category/>
</cp:coreProperties>
</file>